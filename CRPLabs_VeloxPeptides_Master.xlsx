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s" sheetId="2" state="visible" r:id="rId2"/>
    <sheet name="Products" sheetId="3" state="visible" r:id="rId3"/>
    <sheet name="Stacks" sheetId="4" state="visible" r:id="rId4"/>
    <sheet name="Customers" sheetId="5" state="visible" r:id="rId5"/>
    <sheet name="Financials" sheetId="6" state="visible" r:id="rId6"/>
    <sheet name="Subscriptions" sheetId="7" state="visible" r:id="rId7"/>
    <sheet name="One-Off Costs" sheetId="8" state="visible" r:id="rId8"/>
    <sheet name="Discount Codes" sheetId="9" state="visible" r:id="rId9"/>
    <sheet name="Stock" sheetId="10" state="visible" r:id="rId10"/>
    <sheet name="Delivery" sheetId="11" state="visible" r:id="rId11"/>
    <sheet name="Marketing" sheetId="12" state="visible" r:id="rId12"/>
  </sheets>
  <definedNames>
    <definedName name="_xlnm._FilterDatabase" localSheetId="1" hidden="1">'Orders'!$A$2:$V$2</definedName>
    <definedName name="_xlnm.Print_Area" localSheetId="1">'Orders'!$A$1:$V$1003</definedName>
    <definedName name="_xlnm._FilterDatabase" localSheetId="2" hidden="1">'Products'!$A$2:$S$2</definedName>
    <definedName name="_xlnm.Print_Area" localSheetId="2">'Products'!$A$1:$S$25</definedName>
    <definedName name="_xlnm._FilterDatabase" localSheetId="3" hidden="1">'Stacks'!$A$2:$O$2</definedName>
    <definedName name="_xlnm.Print_Area" localSheetId="3">'Stacks'!$A$1:$O$12</definedName>
    <definedName name="_xlnm._FilterDatabase" localSheetId="4" hidden="1">'Customers'!$A$2:$N$2</definedName>
    <definedName name="_xlnm.Print_Area" localSheetId="4">'Customers'!$A$1:$N$502</definedName>
    <definedName name="_xlnm.Print_Area" localSheetId="5">'Financials'!$A$1:$N$24</definedName>
    <definedName name="_xlnm._FilterDatabase" localSheetId="6" hidden="1">'Subscriptions'!$A$2:$I$2</definedName>
    <definedName name="_xlnm.Print_Area" localSheetId="6">'Subscriptions'!$A$1:$I$16</definedName>
    <definedName name="_xlnm._FilterDatabase" localSheetId="7" hidden="1">'One-Off Costs'!$A$2:$H$2</definedName>
    <definedName name="_xlnm.Print_Area" localSheetId="7">'One-Off Costs'!$A$1:$H$80</definedName>
    <definedName name="_xlnm._FilterDatabase" localSheetId="8" hidden="1">'Discount Codes'!$A$2:$J$2</definedName>
    <definedName name="_xlnm.Print_Area" localSheetId="8">'Discount Codes'!$A$1:$J$13</definedName>
    <definedName name="_xlnm._FilterDatabase" localSheetId="9" hidden="1">'Stock'!$A$2:$M$2</definedName>
    <definedName name="_xlnm.Print_Area" localSheetId="9">'Stock'!$A$1:$M$26</definedName>
    <definedName name="_xlnm._FilterDatabase" localSheetId="10" hidden="1">'Delivery'!$A$2:$M$2</definedName>
    <definedName name="_xlnm.Print_Area" localSheetId="10">'Delivery'!$A$1:$M$502</definedName>
    <definedName name="_xlnm._FilterDatabase" localSheetId="11" hidden="1">'Marketing'!$A$2:$K$2</definedName>
    <definedName name="_xlnm.Print_Area" localSheetId="11">'Marketing'!$A$1:$K$57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.00"/>
    <numFmt numFmtId="165" formatCode="0.0%"/>
    <numFmt numFmtId="166" formatCode="DD/MM/YYYY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i val="1"/>
      <color rgb="00666666"/>
      <sz val="9"/>
    </font>
    <font>
      <name val="Arial"/>
      <i val="1"/>
      <color rgb="00888888"/>
      <sz val="9"/>
    </font>
    <font>
      <name val="Arial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</font>
    <font>
      <name val="Arial"/>
      <color rgb="000070C0"/>
      <sz val="9"/>
      <u val="single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1D3A0"/>
        <bgColor rgb="0001D3A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165" fontId="4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164" fontId="7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3" fontId="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2" fillId="2" borderId="0" pivotButton="0" quotePrefix="0" xfId="0"/>
    <xf numFmtId="164" fontId="2" fillId="2" borderId="0" applyAlignment="1" pivotButton="0" quotePrefix="0" xfId="0">
      <alignment horizontal="right" vertical="center"/>
    </xf>
    <xf numFmtId="164" fontId="2" fillId="2" borderId="0" pivotButton="0" quotePrefix="0" xfId="0"/>
    <xf numFmtId="0" fontId="3" fillId="5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167" fontId="0" fillId="0" borderId="0" pivotButton="0" quotePrefix="0" xfId="0"/>
    <xf numFmtId="167" fontId="3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dxfs count="13">
    <dxf>
      <fill>
        <patternFill patternType="solid">
          <fgColor rgb="00FFF2CC"/>
          <bgColor rgb="00FFF2CC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D7D7"/>
          <bgColor rgb="00FFD7D7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375623"/>
      </font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1A1A2E"/>
      </font>
      <fill>
        <patternFill patternType="solid">
          <fgColor rgb="009DC3E6"/>
          <bgColor rgb="009DC3E6"/>
        </patternFill>
      </fill>
    </dxf>
    <dxf>
      <font>
        <b val="1"/>
        <color rgb="001A1A2E"/>
      </font>
      <fill>
        <patternFill patternType="solid">
          <fgColor rgb="00FFD700"/>
          <bgColor rgb="00FFD700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4B942"/>
          <bgColor rgb="00F4B942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CRP Labs</author>
  </authors>
  <commentList>
    <comment ref="A2" authorId="0" shapeId="0">
      <text>
        <t>Paste new orders from Google Sheets starting row 3. Column order matches Google Sheets export exactly.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1D3A0"/>
    <outlinePr summaryBelow="1" summaryRight="1"/>
    <pageSetUpPr/>
  </sheetPr>
  <dimension ref="A1:L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" t="inlineStr">
        <is>
          <t>CRP Labs Ltd — Velox Peptides  |  Business Overview Dashboard  |  17/05/2026</t>
        </is>
      </c>
    </row>
    <row r="2" ht="8" customHeight="1"/>
    <row r="3" ht="18" customHeight="1">
      <c r="A3" s="2" t="inlineStr">
        <is>
          <t>KEY PERFORMANCE INDICATORS</t>
        </is>
      </c>
      <c r="H3" s="2" t="inlineStr">
        <is>
          <t>TOP 5 PRODUCTS — ORDERS MTD</t>
        </is>
      </c>
    </row>
    <row r="4">
      <c r="A4" s="3" t="inlineStr">
        <is>
          <t>Revenue This Month (£)</t>
        </is>
      </c>
      <c r="B4" s="4">
        <f>0</f>
        <v/>
      </c>
      <c r="H4" s="5" t="inlineStr">
        <is>
          <t>Rank</t>
        </is>
      </c>
      <c r="I4" s="5" t="inlineStr">
        <is>
          <t>Product</t>
        </is>
      </c>
      <c r="J4" s="5" t="inlineStr">
        <is>
          <t>Units Sold</t>
        </is>
      </c>
      <c r="K4" s="5" t="inlineStr">
        <is>
          <t>Revenue</t>
        </is>
      </c>
      <c r="L4" s="5" t="inlineStr">
        <is>
          <t>Margin %</t>
        </is>
      </c>
    </row>
    <row r="5">
      <c r="A5" s="6" t="inlineStr">
        <is>
          <t>Revenue Last Month (£)</t>
        </is>
      </c>
      <c r="B5" s="7">
        <f>0</f>
        <v/>
      </c>
      <c r="H5" s="8" t="n">
        <v>1</v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8" t="inlineStr">
        <is>
          <t>—</t>
        </is>
      </c>
    </row>
    <row r="6">
      <c r="A6" s="3" t="inlineStr">
        <is>
          <t>Month-on-Month Change (%)</t>
        </is>
      </c>
      <c r="B6" s="9">
        <f>0</f>
        <v/>
      </c>
      <c r="H6" s="8" t="n">
        <v>2</v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</row>
    <row r="7">
      <c r="A7" s="6" t="inlineStr">
        <is>
          <t>Total Orders This Month</t>
        </is>
      </c>
      <c r="B7" s="10">
        <f>0</f>
        <v/>
      </c>
      <c r="H7" s="8" t="n">
        <v>3</v>
      </c>
      <c r="I7" s="8" t="inlineStr">
        <is>
          <t>—</t>
        </is>
      </c>
      <c r="J7" s="8" t="inlineStr">
        <is>
          <t>—</t>
        </is>
      </c>
      <c r="K7" s="8" t="inlineStr">
        <is>
          <t>—</t>
        </is>
      </c>
      <c r="L7" s="8" t="inlineStr">
        <is>
          <t>—</t>
        </is>
      </c>
    </row>
    <row r="8">
      <c r="A8" s="3" t="inlineStr">
        <is>
          <t>Total Orders Last Month</t>
        </is>
      </c>
      <c r="B8" s="11">
        <f>0</f>
        <v/>
      </c>
      <c r="H8" s="8" t="n">
        <v>4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</row>
    <row r="9">
      <c r="A9" s="6" t="inlineStr">
        <is>
          <t>Average Order Value (£)</t>
        </is>
      </c>
      <c r="B9" s="7">
        <f>0</f>
        <v/>
      </c>
      <c r="H9" s="8" t="n">
        <v>5</v>
      </c>
      <c r="I9" s="8" t="inlineStr">
        <is>
          <t>—</t>
        </is>
      </c>
      <c r="J9" s="8" t="inlineStr">
        <is>
          <t>—</t>
        </is>
      </c>
      <c r="K9" s="8" t="inlineStr">
        <is>
          <t>—</t>
        </is>
      </c>
      <c r="L9" s="8" t="inlineStr">
        <is>
          <t>—</t>
        </is>
      </c>
    </row>
    <row r="10" ht="18" customHeight="1">
      <c r="A10" s="3" t="inlineStr">
        <is>
          <t>Total Revenue This Year (£)</t>
        </is>
      </c>
      <c r="B10" s="4">
        <f>0</f>
        <v/>
      </c>
      <c r="H10" s="2" t="inlineStr">
        <is>
          <t>TOP 5 PRODUCTS — REVENUE MTD</t>
        </is>
      </c>
    </row>
    <row r="11">
      <c r="A11" s="6" t="inlineStr">
        <is>
          <t>Total Profit This Month (£)</t>
        </is>
      </c>
      <c r="B11" s="7">
        <f>0</f>
        <v/>
      </c>
      <c r="H11" s="5" t="inlineStr">
        <is>
          <t>Rank</t>
        </is>
      </c>
      <c r="I11" s="5" t="inlineStr">
        <is>
          <t>Product</t>
        </is>
      </c>
      <c r="J11" s="5" t="inlineStr">
        <is>
          <t>Revenue</t>
        </is>
      </c>
      <c r="K11" s="5" t="inlineStr">
        <is>
          <t>Units Sold</t>
        </is>
      </c>
      <c r="L11" s="5" t="inlineStr">
        <is>
          <t>Margin %</t>
        </is>
      </c>
    </row>
    <row r="12">
      <c r="A12" s="3" t="inlineStr">
        <is>
          <t>Total Profit This Year (£)</t>
        </is>
      </c>
      <c r="B12" s="4">
        <f>0</f>
        <v/>
      </c>
      <c r="H12" s="8" t="n">
        <v>1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</row>
    <row r="13">
      <c r="A13" s="6" t="inlineStr">
        <is>
          <t>Profit Margin % This Month</t>
        </is>
      </c>
      <c r="B13" s="12">
        <f>0</f>
        <v/>
      </c>
      <c r="H13" s="8" t="n">
        <v>2</v>
      </c>
      <c r="I13" s="8" t="inlineStr">
        <is>
          <t>—</t>
        </is>
      </c>
      <c r="J13" s="8" t="inlineStr">
        <is>
          <t>—</t>
        </is>
      </c>
      <c r="K13" s="8" t="inlineStr">
        <is>
          <t>—</t>
        </is>
      </c>
      <c r="L13" s="8" t="inlineStr">
        <is>
          <t>—</t>
        </is>
      </c>
    </row>
    <row r="14">
      <c r="A14" s="3" t="inlineStr">
        <is>
          <t>Total Subscription Costs (£/mo)</t>
        </is>
      </c>
      <c r="B14" s="4">
        <f>0</f>
        <v/>
      </c>
      <c r="H14" s="8" t="n">
        <v>3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</row>
    <row r="15">
      <c r="A15" s="6" t="inlineStr">
        <is>
          <t>Total One-Off Costs This Month (£)</t>
        </is>
      </c>
      <c r="B15" s="7">
        <f>0</f>
        <v/>
      </c>
      <c r="H15" s="8" t="n">
        <v>4</v>
      </c>
      <c r="I15" s="8" t="inlineStr">
        <is>
          <t>—</t>
        </is>
      </c>
      <c r="J15" s="8" t="inlineStr">
        <is>
          <t>—</t>
        </is>
      </c>
      <c r="K15" s="8" t="inlineStr">
        <is>
          <t>—</t>
        </is>
      </c>
      <c r="L15" s="8" t="inlineStr">
        <is>
          <t>—</t>
        </is>
      </c>
    </row>
    <row r="16" ht="18" customHeight="1">
      <c r="A16" s="2" t="inlineStr">
        <is>
          <t>ORDER STATUS</t>
        </is>
      </c>
      <c r="H16" s="8" t="n">
        <v>5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</row>
    <row r="17" ht="18" customHeight="1">
      <c r="A17" s="8" t="inlineStr">
        <is>
          <t>Orders Pending Dispatch</t>
        </is>
      </c>
      <c r="B17" s="13">
        <f>0</f>
        <v/>
      </c>
      <c r="H17" s="2" t="inlineStr">
        <is>
          <t>TOP 5 PRODUCTS — MARGIN %</t>
        </is>
      </c>
    </row>
    <row r="18">
      <c r="A18" s="8" t="inlineStr">
        <is>
          <t>Orders Dispatched</t>
        </is>
      </c>
      <c r="B18" s="13">
        <f>0</f>
        <v/>
      </c>
      <c r="H18" s="5" t="inlineStr">
        <is>
          <t>Rank</t>
        </is>
      </c>
      <c r="I18" s="5" t="inlineStr">
        <is>
          <t>Product</t>
        </is>
      </c>
      <c r="J18" s="5" t="inlineStr">
        <is>
          <t>Margin %</t>
        </is>
      </c>
      <c r="K18" s="5" t="inlineStr">
        <is>
          <t>Cost</t>
        </is>
      </c>
      <c r="L18" s="5" t="inlineStr">
        <is>
          <t>RRP</t>
        </is>
      </c>
    </row>
    <row r="19">
      <c r="A19" s="8" t="inlineStr">
        <is>
          <t>Outstanding Bank Transfers (£)</t>
        </is>
      </c>
      <c r="B19" s="13">
        <f>0</f>
        <v/>
      </c>
      <c r="H19" s="8" t="n">
        <v>1</v>
      </c>
      <c r="I19" s="8" t="inlineStr">
        <is>
          <t>—</t>
        </is>
      </c>
      <c r="J19" s="8" t="inlineStr">
        <is>
          <t>—</t>
        </is>
      </c>
      <c r="K19" s="8" t="inlineStr">
        <is>
          <t>—</t>
        </is>
      </c>
      <c r="L19" s="8" t="inlineStr">
        <is>
          <t>—</t>
        </is>
      </c>
    </row>
    <row r="20">
      <c r="A20" s="8" t="inlineStr">
        <is>
          <t>UK Orders This Month</t>
        </is>
      </c>
      <c r="B20" s="13">
        <f>0</f>
        <v/>
      </c>
      <c r="H20" s="8" t="n">
        <v>2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</row>
    <row r="21">
      <c r="A21" s="8" t="inlineStr">
        <is>
          <t>EU Orders This Month</t>
        </is>
      </c>
      <c r="B21" s="13">
        <f>0</f>
        <v/>
      </c>
      <c r="H21" s="8" t="n">
        <v>3</v>
      </c>
      <c r="I21" s="8" t="inlineStr">
        <is>
          <t>—</t>
        </is>
      </c>
      <c r="J21" s="8" t="inlineStr">
        <is>
          <t>—</t>
        </is>
      </c>
      <c r="K21" s="8" t="inlineStr">
        <is>
          <t>—</t>
        </is>
      </c>
      <c r="L21" s="8" t="inlineStr">
        <is>
          <t>—</t>
        </is>
      </c>
    </row>
    <row r="22">
      <c r="H22" s="8" t="n">
        <v>4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</row>
    <row r="23" ht="18" customHeight="1">
      <c r="A23" s="2" t="inlineStr">
        <is>
          <t>REVENUE BY PAYMENT METHOD</t>
        </is>
      </c>
      <c r="H23" s="8" t="n">
        <v>5</v>
      </c>
      <c r="I23" s="8" t="inlineStr">
        <is>
          <t>—</t>
        </is>
      </c>
      <c r="J23" s="8" t="inlineStr">
        <is>
          <t>—</t>
        </is>
      </c>
      <c r="K23" s="8" t="inlineStr">
        <is>
          <t>—</t>
        </is>
      </c>
      <c r="L23" s="8" t="inlineStr">
        <is>
          <t>—</t>
        </is>
      </c>
    </row>
    <row r="24">
      <c r="A24" s="5" t="inlineStr">
        <is>
          <t>Method</t>
        </is>
      </c>
      <c r="B24" s="5" t="inlineStr">
        <is>
          <t>Orders</t>
        </is>
      </c>
      <c r="C24" s="5" t="inlineStr">
        <is>
          <t>Revenue (£)</t>
        </is>
      </c>
      <c r="D24" s="5" t="inlineStr">
        <is>
          <t>% of Total</t>
        </is>
      </c>
    </row>
    <row r="25">
      <c r="A25" s="8" t="inlineStr">
        <is>
          <t>GoCardless</t>
        </is>
      </c>
      <c r="B25" s="8" t="n">
        <v>0</v>
      </c>
      <c r="C25" s="14" t="n">
        <v>0</v>
      </c>
      <c r="D25" s="15" t="n">
        <v>0</v>
      </c>
    </row>
    <row r="26">
      <c r="A26" s="8" t="inlineStr">
        <is>
          <t>PsiFi</t>
        </is>
      </c>
      <c r="B26" s="8" t="n">
        <v>0</v>
      </c>
      <c r="C26" s="14" t="n">
        <v>0</v>
      </c>
      <c r="D26" s="15" t="n">
        <v>0</v>
      </c>
    </row>
    <row r="27">
      <c r="A27" s="8" t="inlineStr">
        <is>
          <t>Bank Transfer</t>
        </is>
      </c>
      <c r="B27" s="8" t="n">
        <v>0</v>
      </c>
      <c r="C27" s="14" t="n">
        <v>0</v>
      </c>
      <c r="D27" s="15" t="n">
        <v>0</v>
      </c>
    </row>
    <row r="28">
      <c r="A28" s="2" t="inlineStr">
        <is>
          <t>Total</t>
        </is>
      </c>
      <c r="B28" s="2">
        <f>SUM(B25:B27)</f>
        <v/>
      </c>
      <c r="C28" s="16">
        <f>SUM(C25:C27)</f>
        <v/>
      </c>
      <c r="D28" s="17">
        <f>IF(C28=0,0,1)</f>
        <v/>
      </c>
    </row>
    <row r="30" ht="18" customHeight="1">
      <c r="A30" s="2" t="inlineStr">
        <is>
          <t>MONTHLY CHART DATA (last 6 months)</t>
        </is>
      </c>
    </row>
    <row r="31">
      <c r="A31" s="5" t="inlineStr">
        <is>
          <t>Month</t>
        </is>
      </c>
      <c r="B31" s="5" t="inlineStr">
        <is>
          <t>Revenue</t>
        </is>
      </c>
      <c r="C31" s="5" t="inlineStr">
        <is>
          <t>Profit</t>
        </is>
      </c>
      <c r="D31" s="5" t="inlineStr">
        <is>
          <t>Orders</t>
        </is>
      </c>
      <c r="E31" s="5" t="inlineStr">
        <is>
          <t>Avg Order Value</t>
        </is>
      </c>
    </row>
    <row r="32">
      <c r="A32" s="8" t="inlineStr">
        <is>
          <t>Dec 2025</t>
        </is>
      </c>
      <c r="B32" s="18" t="n">
        <v>0</v>
      </c>
      <c r="C32" s="18" t="n">
        <v>0</v>
      </c>
      <c r="D32" s="8" t="n">
        <v>0</v>
      </c>
      <c r="E32" s="18" t="n">
        <v>0</v>
      </c>
    </row>
    <row r="33">
      <c r="A33" s="8" t="inlineStr">
        <is>
          <t>Jan 2026</t>
        </is>
      </c>
      <c r="B33" s="18" t="n">
        <v>0</v>
      </c>
      <c r="C33" s="18" t="n">
        <v>0</v>
      </c>
      <c r="D33" s="8" t="n">
        <v>0</v>
      </c>
      <c r="E33" s="18" t="n">
        <v>0</v>
      </c>
    </row>
    <row r="34">
      <c r="A34" s="8" t="inlineStr">
        <is>
          <t>Feb 2026</t>
        </is>
      </c>
      <c r="B34" s="18" t="n">
        <v>0</v>
      </c>
      <c r="C34" s="18" t="n">
        <v>0</v>
      </c>
      <c r="D34" s="8" t="n">
        <v>0</v>
      </c>
      <c r="E34" s="18" t="n">
        <v>0</v>
      </c>
    </row>
    <row r="35">
      <c r="A35" s="8" t="inlineStr">
        <is>
          <t>Mar 2026</t>
        </is>
      </c>
      <c r="B35" s="18" t="n">
        <v>0</v>
      </c>
      <c r="C35" s="18" t="n">
        <v>0</v>
      </c>
      <c r="D35" s="8" t="n">
        <v>0</v>
      </c>
      <c r="E35" s="18" t="n">
        <v>0</v>
      </c>
    </row>
    <row r="36">
      <c r="A36" s="8" t="inlineStr">
        <is>
          <t>Apr 2026</t>
        </is>
      </c>
      <c r="B36" s="18" t="n">
        <v>0</v>
      </c>
      <c r="C36" s="18" t="n">
        <v>0</v>
      </c>
      <c r="D36" s="8" t="n">
        <v>0</v>
      </c>
      <c r="E36" s="18" t="n">
        <v>0</v>
      </c>
    </row>
    <row r="37">
      <c r="A37" s="8" t="inlineStr">
        <is>
          <t>May 2026</t>
        </is>
      </c>
      <c r="B37" s="18" t="n">
        <v>0</v>
      </c>
      <c r="C37" s="18" t="n">
        <v>0</v>
      </c>
      <c r="D37" s="8" t="n">
        <v>0</v>
      </c>
      <c r="E37" s="18" t="n">
        <v>0</v>
      </c>
    </row>
    <row r="39">
      <c r="A39" s="19" t="inlineStr">
        <is>
          <t>NOTE: Connect formula cells to Orders, Financials, and Subscriptions sheets once data is populated. All KPI cells currently show placeholder values.</t>
        </is>
      </c>
    </row>
  </sheetData>
  <mergeCells count="9">
    <mergeCell ref="A16:F16"/>
    <mergeCell ref="H3:L3"/>
    <mergeCell ref="H17:L17"/>
    <mergeCell ref="A1:L1"/>
    <mergeCell ref="A23:F23"/>
    <mergeCell ref="H10:L10"/>
    <mergeCell ref="A3:F3"/>
    <mergeCell ref="A30:F30"/>
    <mergeCell ref="A39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V10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14" customWidth="1" min="5" max="5"/>
    <col width="30" customWidth="1" min="6" max="6"/>
    <col width="35" customWidth="1" min="7" max="7"/>
    <col width="12" customWidth="1" min="8" max="8"/>
    <col width="10" customWidth="1" min="9" max="9"/>
    <col width="14" customWidth="1" min="10" max="10"/>
    <col width="12" customWidth="1" min="11" max="11"/>
    <col width="12" customWidth="1" min="12" max="12"/>
    <col width="15" customWidth="1" min="13" max="13"/>
    <col width="10" customWidth="1" min="14" max="14"/>
    <col width="8" customWidth="1" min="15" max="15"/>
    <col width="14" customWidth="1" min="16" max="16"/>
    <col width="20" customWidth="1" min="17" max="17"/>
    <col width="13" customWidth="1" min="18" max="18"/>
    <col width="13" customWidth="1" min="19" max="19"/>
    <col width="11" customWidth="1" min="20" max="20"/>
    <col width="13" customWidth="1" min="21" max="21"/>
    <col width="25" customWidth="1" min="22" max="22"/>
  </cols>
  <sheetData>
    <row r="1" ht="22" customHeight="1">
      <c r="A1" s="1" t="inlineStr">
        <is>
          <t>CRP Labs Ltd — Velox Peptides  |  Orders Log  |  17/05/2026</t>
        </is>
      </c>
    </row>
    <row r="2" ht="22" customHeight="1">
      <c r="A2" s="5" t="inlineStr">
        <is>
          <t>Order ID</t>
        </is>
      </c>
      <c r="B2" s="5" t="inlineStr">
        <is>
          <t>Date</t>
        </is>
      </c>
      <c r="C2" s="5" t="inlineStr">
        <is>
          <t>Name</t>
        </is>
      </c>
      <c r="D2" s="5" t="inlineStr">
        <is>
          <t>Email</t>
        </is>
      </c>
      <c r="E2" s="5" t="inlineStr">
        <is>
          <t>Phone</t>
        </is>
      </c>
      <c r="F2" s="5" t="inlineStr">
        <is>
          <t>Address</t>
        </is>
      </c>
      <c r="G2" s="5" t="inlineStr">
        <is>
          <t>Products</t>
        </is>
      </c>
      <c r="H2" s="5" t="inlineStr">
        <is>
          <t>Subtotal</t>
        </is>
      </c>
      <c r="I2" s="5" t="inlineStr">
        <is>
          <t>Delivery</t>
        </is>
      </c>
      <c r="J2" s="5" t="inlineStr">
        <is>
          <t>Discount Code</t>
        </is>
      </c>
      <c r="K2" s="5" t="inlineStr">
        <is>
          <t>Discount Amount</t>
        </is>
      </c>
      <c r="L2" s="5" t="inlineStr">
        <is>
          <t>Total</t>
        </is>
      </c>
      <c r="M2" s="5" t="inlineStr">
        <is>
          <t>Payment Method</t>
        </is>
      </c>
      <c r="N2" s="5" t="inlineStr">
        <is>
          <t>Currency</t>
        </is>
      </c>
      <c r="O2" s="5" t="inlineStr">
        <is>
          <t>Region</t>
        </is>
      </c>
      <c r="P2" s="5" t="inlineStr">
        <is>
          <t>Status</t>
        </is>
      </c>
      <c r="Q2" s="5" t="inlineStr">
        <is>
          <t>Tracking</t>
        </is>
      </c>
      <c r="R2" s="5" t="inlineStr">
        <is>
          <t>Cost of Goods</t>
        </is>
      </c>
      <c r="S2" s="5" t="inlineStr">
        <is>
          <t>Packaging Cost</t>
        </is>
      </c>
      <c r="T2" s="5" t="inlineStr">
        <is>
          <t>Label Cost</t>
        </is>
      </c>
      <c r="U2" s="5" t="inlineStr">
        <is>
          <t>Order Profit</t>
        </is>
      </c>
      <c r="V2" s="5" t="inlineStr">
        <is>
          <t>Notes</t>
        </is>
      </c>
    </row>
    <row r="3">
      <c r="A3" s="20" t="inlineStr">
        <is>
          <t>VP-YYYYMMDD-0001</t>
        </is>
      </c>
      <c r="B3" s="21" t="n"/>
      <c r="H3" s="14" t="n"/>
      <c r="I3" s="14" t="n"/>
      <c r="K3" s="14" t="n"/>
      <c r="L3" s="14" t="n"/>
      <c r="R3" s="22" t="inlineStr">
        <is>
          <t>See Products sheet for cost lookup</t>
        </is>
      </c>
      <c r="S3" s="14" t="n">
        <v>3.8</v>
      </c>
      <c r="T3" s="14" t="n">
        <v>0.5</v>
      </c>
      <c r="U3" s="14">
        <f>IF(L3=0,0,L3-S3-T3)</f>
        <v/>
      </c>
    </row>
    <row r="4">
      <c r="H4" s="14" t="n"/>
      <c r="I4" s="14" t="n"/>
      <c r="K4" s="14" t="n"/>
      <c r="L4" s="14" t="n"/>
      <c r="R4" s="14" t="n"/>
      <c r="S4" s="14" t="n"/>
      <c r="T4" s="14" t="n"/>
      <c r="U4" s="14" t="n"/>
    </row>
    <row r="5">
      <c r="H5" s="14" t="n"/>
      <c r="I5" s="14" t="n"/>
      <c r="K5" s="14" t="n"/>
      <c r="L5" s="14" t="n"/>
      <c r="R5" s="14" t="n"/>
      <c r="S5" s="14" t="n"/>
      <c r="T5" s="14" t="n"/>
      <c r="U5" s="14" t="n"/>
    </row>
    <row r="6">
      <c r="H6" s="14" t="n"/>
      <c r="I6" s="14" t="n"/>
      <c r="K6" s="14" t="n"/>
      <c r="L6" s="14" t="n"/>
      <c r="R6" s="14" t="n"/>
      <c r="S6" s="14" t="n"/>
      <c r="T6" s="14" t="n"/>
      <c r="U6" s="14" t="n"/>
    </row>
    <row r="7">
      <c r="H7" s="14" t="n"/>
      <c r="I7" s="14" t="n"/>
      <c r="K7" s="14" t="n"/>
      <c r="L7" s="14" t="n"/>
      <c r="R7" s="14" t="n"/>
      <c r="S7" s="14" t="n"/>
      <c r="T7" s="14" t="n"/>
      <c r="U7" s="14" t="n"/>
    </row>
    <row r="8">
      <c r="H8" s="14" t="n"/>
      <c r="I8" s="14" t="n"/>
      <c r="K8" s="14" t="n"/>
      <c r="L8" s="14" t="n"/>
      <c r="R8" s="14" t="n"/>
      <c r="S8" s="14" t="n"/>
      <c r="T8" s="14" t="n"/>
      <c r="U8" s="14" t="n"/>
    </row>
    <row r="9">
      <c r="H9" s="14" t="n"/>
      <c r="I9" s="14" t="n"/>
      <c r="K9" s="14" t="n"/>
      <c r="L9" s="14" t="n"/>
      <c r="R9" s="14" t="n"/>
      <c r="S9" s="14" t="n"/>
      <c r="T9" s="14" t="n"/>
      <c r="U9" s="14" t="n"/>
    </row>
    <row r="10">
      <c r="H10" s="14" t="n"/>
      <c r="I10" s="14" t="n"/>
      <c r="K10" s="14" t="n"/>
      <c r="L10" s="14" t="n"/>
      <c r="R10" s="14" t="n"/>
      <c r="S10" s="14" t="n"/>
      <c r="T10" s="14" t="n"/>
      <c r="U10" s="14" t="n"/>
    </row>
    <row r="11">
      <c r="H11" s="14" t="n"/>
      <c r="I11" s="14" t="n"/>
      <c r="K11" s="14" t="n"/>
      <c r="L11" s="14" t="n"/>
      <c r="R11" s="14" t="n"/>
      <c r="S11" s="14" t="n"/>
      <c r="T11" s="14" t="n"/>
      <c r="U11" s="14" t="n"/>
    </row>
    <row r="12">
      <c r="H12" s="14" t="n"/>
      <c r="I12" s="14" t="n"/>
      <c r="K12" s="14" t="n"/>
      <c r="L12" s="14" t="n"/>
      <c r="R12" s="14" t="n"/>
      <c r="S12" s="14" t="n"/>
      <c r="T12" s="14" t="n"/>
      <c r="U12" s="14" t="n"/>
    </row>
    <row r="13">
      <c r="H13" s="14" t="n"/>
      <c r="I13" s="14" t="n"/>
      <c r="K13" s="14" t="n"/>
      <c r="L13" s="14" t="n"/>
      <c r="R13" s="14" t="n"/>
      <c r="S13" s="14" t="n"/>
      <c r="T13" s="14" t="n"/>
      <c r="U13" s="14" t="n"/>
    </row>
    <row r="14">
      <c r="H14" s="14" t="n"/>
      <c r="I14" s="14" t="n"/>
      <c r="K14" s="14" t="n"/>
      <c r="L14" s="14" t="n"/>
      <c r="R14" s="14" t="n"/>
      <c r="S14" s="14" t="n"/>
      <c r="T14" s="14" t="n"/>
      <c r="U14" s="14" t="n"/>
    </row>
    <row r="15">
      <c r="H15" s="14" t="n"/>
      <c r="I15" s="14" t="n"/>
      <c r="K15" s="14" t="n"/>
      <c r="L15" s="14" t="n"/>
      <c r="R15" s="14" t="n"/>
      <c r="S15" s="14" t="n"/>
      <c r="T15" s="14" t="n"/>
      <c r="U15" s="14" t="n"/>
    </row>
    <row r="16">
      <c r="H16" s="14" t="n"/>
      <c r="I16" s="14" t="n"/>
      <c r="K16" s="14" t="n"/>
      <c r="L16" s="14" t="n"/>
      <c r="R16" s="14" t="n"/>
      <c r="S16" s="14" t="n"/>
      <c r="T16" s="14" t="n"/>
      <c r="U16" s="14" t="n"/>
    </row>
    <row r="17">
      <c r="H17" s="14" t="n"/>
      <c r="I17" s="14" t="n"/>
      <c r="K17" s="14" t="n"/>
      <c r="L17" s="14" t="n"/>
      <c r="R17" s="14" t="n"/>
      <c r="S17" s="14" t="n"/>
      <c r="T17" s="14" t="n"/>
      <c r="U17" s="14" t="n"/>
    </row>
    <row r="18">
      <c r="H18" s="14" t="n"/>
      <c r="I18" s="14" t="n"/>
      <c r="K18" s="14" t="n"/>
      <c r="L18" s="14" t="n"/>
      <c r="R18" s="14" t="n"/>
      <c r="S18" s="14" t="n"/>
      <c r="T18" s="14" t="n"/>
      <c r="U18" s="14" t="n"/>
    </row>
    <row r="19">
      <c r="H19" s="14" t="n"/>
      <c r="I19" s="14" t="n"/>
      <c r="K19" s="14" t="n"/>
      <c r="L19" s="14" t="n"/>
      <c r="R19" s="14" t="n"/>
      <c r="S19" s="14" t="n"/>
      <c r="T19" s="14" t="n"/>
      <c r="U19" s="14" t="n"/>
    </row>
    <row r="20">
      <c r="H20" s="14" t="n"/>
      <c r="I20" s="14" t="n"/>
      <c r="K20" s="14" t="n"/>
      <c r="L20" s="14" t="n"/>
      <c r="R20" s="14" t="n"/>
      <c r="S20" s="14" t="n"/>
      <c r="T20" s="14" t="n"/>
      <c r="U20" s="14" t="n"/>
    </row>
    <row r="21">
      <c r="H21" s="14" t="n"/>
      <c r="I21" s="14" t="n"/>
      <c r="K21" s="14" t="n"/>
      <c r="L21" s="14" t="n"/>
      <c r="R21" s="14" t="n"/>
      <c r="S21" s="14" t="n"/>
      <c r="T21" s="14" t="n"/>
      <c r="U21" s="14" t="n"/>
    </row>
    <row r="22">
      <c r="H22" s="14" t="n"/>
      <c r="I22" s="14" t="n"/>
      <c r="K22" s="14" t="n"/>
      <c r="L22" s="14" t="n"/>
      <c r="R22" s="14" t="n"/>
      <c r="S22" s="14" t="n"/>
      <c r="T22" s="14" t="n"/>
      <c r="U22" s="14" t="n"/>
    </row>
    <row r="23">
      <c r="H23" s="14" t="n"/>
      <c r="I23" s="14" t="n"/>
      <c r="K23" s="14" t="n"/>
      <c r="L23" s="14" t="n"/>
      <c r="R23" s="14" t="n"/>
      <c r="S23" s="14" t="n"/>
      <c r="T23" s="14" t="n"/>
      <c r="U23" s="14" t="n"/>
    </row>
    <row r="24">
      <c r="H24" s="14" t="n"/>
      <c r="I24" s="14" t="n"/>
      <c r="K24" s="14" t="n"/>
      <c r="L24" s="14" t="n"/>
      <c r="R24" s="14" t="n"/>
      <c r="S24" s="14" t="n"/>
      <c r="T24" s="14" t="n"/>
      <c r="U24" s="14" t="n"/>
    </row>
    <row r="25">
      <c r="H25" s="14" t="n"/>
      <c r="I25" s="14" t="n"/>
      <c r="K25" s="14" t="n"/>
      <c r="L25" s="14" t="n"/>
      <c r="R25" s="14" t="n"/>
      <c r="S25" s="14" t="n"/>
      <c r="T25" s="14" t="n"/>
      <c r="U25" s="14" t="n"/>
    </row>
    <row r="26">
      <c r="H26" s="14" t="n"/>
      <c r="I26" s="14" t="n"/>
      <c r="K26" s="14" t="n"/>
      <c r="L26" s="14" t="n"/>
      <c r="R26" s="14" t="n"/>
      <c r="S26" s="14" t="n"/>
      <c r="T26" s="14" t="n"/>
      <c r="U26" s="14" t="n"/>
    </row>
    <row r="27">
      <c r="H27" s="14" t="n"/>
      <c r="I27" s="14" t="n"/>
      <c r="K27" s="14" t="n"/>
      <c r="L27" s="14" t="n"/>
      <c r="R27" s="14" t="n"/>
      <c r="S27" s="14" t="n"/>
      <c r="T27" s="14" t="n"/>
      <c r="U27" s="14" t="n"/>
    </row>
    <row r="28">
      <c r="H28" s="14" t="n"/>
      <c r="I28" s="14" t="n"/>
      <c r="K28" s="14" t="n"/>
      <c r="L28" s="14" t="n"/>
      <c r="R28" s="14" t="n"/>
      <c r="S28" s="14" t="n"/>
      <c r="T28" s="14" t="n"/>
      <c r="U28" s="14" t="n"/>
    </row>
    <row r="29">
      <c r="H29" s="14" t="n"/>
      <c r="I29" s="14" t="n"/>
      <c r="K29" s="14" t="n"/>
      <c r="L29" s="14" t="n"/>
      <c r="R29" s="14" t="n"/>
      <c r="S29" s="14" t="n"/>
      <c r="T29" s="14" t="n"/>
      <c r="U29" s="14" t="n"/>
    </row>
    <row r="30">
      <c r="H30" s="14" t="n"/>
      <c r="I30" s="14" t="n"/>
      <c r="K30" s="14" t="n"/>
      <c r="L30" s="14" t="n"/>
      <c r="R30" s="14" t="n"/>
      <c r="S30" s="14" t="n"/>
      <c r="T30" s="14" t="n"/>
      <c r="U30" s="14" t="n"/>
    </row>
    <row r="31">
      <c r="H31" s="14" t="n"/>
      <c r="I31" s="14" t="n"/>
      <c r="K31" s="14" t="n"/>
      <c r="L31" s="14" t="n"/>
      <c r="R31" s="14" t="n"/>
      <c r="S31" s="14" t="n"/>
      <c r="T31" s="14" t="n"/>
      <c r="U31" s="14" t="n"/>
    </row>
    <row r="32">
      <c r="H32" s="14" t="n"/>
      <c r="I32" s="14" t="n"/>
      <c r="K32" s="14" t="n"/>
      <c r="L32" s="14" t="n"/>
      <c r="R32" s="14" t="n"/>
      <c r="S32" s="14" t="n"/>
      <c r="T32" s="14" t="n"/>
      <c r="U32" s="14" t="n"/>
    </row>
    <row r="33">
      <c r="H33" s="14" t="n"/>
      <c r="I33" s="14" t="n"/>
      <c r="K33" s="14" t="n"/>
      <c r="L33" s="14" t="n"/>
      <c r="R33" s="14" t="n"/>
      <c r="S33" s="14" t="n"/>
      <c r="T33" s="14" t="n"/>
      <c r="U33" s="14" t="n"/>
    </row>
    <row r="34">
      <c r="H34" s="14" t="n"/>
      <c r="I34" s="14" t="n"/>
      <c r="K34" s="14" t="n"/>
      <c r="L34" s="14" t="n"/>
      <c r="R34" s="14" t="n"/>
      <c r="S34" s="14" t="n"/>
      <c r="T34" s="14" t="n"/>
      <c r="U34" s="14" t="n"/>
    </row>
    <row r="35">
      <c r="H35" s="14" t="n"/>
      <c r="I35" s="14" t="n"/>
      <c r="K35" s="14" t="n"/>
      <c r="L35" s="14" t="n"/>
      <c r="R35" s="14" t="n"/>
      <c r="S35" s="14" t="n"/>
      <c r="T35" s="14" t="n"/>
      <c r="U35" s="14" t="n"/>
    </row>
    <row r="36">
      <c r="H36" s="14" t="n"/>
      <c r="I36" s="14" t="n"/>
      <c r="K36" s="14" t="n"/>
      <c r="L36" s="14" t="n"/>
      <c r="R36" s="14" t="n"/>
      <c r="S36" s="14" t="n"/>
      <c r="T36" s="14" t="n"/>
      <c r="U36" s="14" t="n"/>
    </row>
    <row r="37">
      <c r="H37" s="14" t="n"/>
      <c r="I37" s="14" t="n"/>
      <c r="K37" s="14" t="n"/>
      <c r="L37" s="14" t="n"/>
      <c r="R37" s="14" t="n"/>
      <c r="S37" s="14" t="n"/>
      <c r="T37" s="14" t="n"/>
      <c r="U37" s="14" t="n"/>
    </row>
    <row r="38">
      <c r="H38" s="14" t="n"/>
      <c r="I38" s="14" t="n"/>
      <c r="K38" s="14" t="n"/>
      <c r="L38" s="14" t="n"/>
      <c r="R38" s="14" t="n"/>
      <c r="S38" s="14" t="n"/>
      <c r="T38" s="14" t="n"/>
      <c r="U38" s="14" t="n"/>
    </row>
    <row r="39">
      <c r="H39" s="14" t="n"/>
      <c r="I39" s="14" t="n"/>
      <c r="K39" s="14" t="n"/>
      <c r="L39" s="14" t="n"/>
      <c r="R39" s="14" t="n"/>
      <c r="S39" s="14" t="n"/>
      <c r="T39" s="14" t="n"/>
      <c r="U39" s="14" t="n"/>
    </row>
    <row r="40">
      <c r="H40" s="14" t="n"/>
      <c r="I40" s="14" t="n"/>
      <c r="K40" s="14" t="n"/>
      <c r="L40" s="14" t="n"/>
      <c r="R40" s="14" t="n"/>
      <c r="S40" s="14" t="n"/>
      <c r="T40" s="14" t="n"/>
      <c r="U40" s="14" t="n"/>
    </row>
    <row r="41">
      <c r="H41" s="14" t="n"/>
      <c r="I41" s="14" t="n"/>
      <c r="K41" s="14" t="n"/>
      <c r="L41" s="14" t="n"/>
      <c r="R41" s="14" t="n"/>
      <c r="S41" s="14" t="n"/>
      <c r="T41" s="14" t="n"/>
      <c r="U41" s="14" t="n"/>
    </row>
    <row r="42">
      <c r="H42" s="14" t="n"/>
      <c r="I42" s="14" t="n"/>
      <c r="K42" s="14" t="n"/>
      <c r="L42" s="14" t="n"/>
      <c r="R42" s="14" t="n"/>
      <c r="S42" s="14" t="n"/>
      <c r="T42" s="14" t="n"/>
      <c r="U42" s="14" t="n"/>
    </row>
    <row r="43">
      <c r="H43" s="14" t="n"/>
      <c r="I43" s="14" t="n"/>
      <c r="K43" s="14" t="n"/>
      <c r="L43" s="14" t="n"/>
      <c r="R43" s="14" t="n"/>
      <c r="S43" s="14" t="n"/>
      <c r="T43" s="14" t="n"/>
      <c r="U43" s="14" t="n"/>
    </row>
    <row r="44">
      <c r="H44" s="14" t="n"/>
      <c r="I44" s="14" t="n"/>
      <c r="K44" s="14" t="n"/>
      <c r="L44" s="14" t="n"/>
      <c r="R44" s="14" t="n"/>
      <c r="S44" s="14" t="n"/>
      <c r="T44" s="14" t="n"/>
      <c r="U44" s="14" t="n"/>
    </row>
    <row r="45">
      <c r="H45" s="14" t="n"/>
      <c r="I45" s="14" t="n"/>
      <c r="K45" s="14" t="n"/>
      <c r="L45" s="14" t="n"/>
      <c r="R45" s="14" t="n"/>
      <c r="S45" s="14" t="n"/>
      <c r="T45" s="14" t="n"/>
      <c r="U45" s="14" t="n"/>
    </row>
    <row r="46">
      <c r="H46" s="14" t="n"/>
      <c r="I46" s="14" t="n"/>
      <c r="K46" s="14" t="n"/>
      <c r="L46" s="14" t="n"/>
      <c r="R46" s="14" t="n"/>
      <c r="S46" s="14" t="n"/>
      <c r="T46" s="14" t="n"/>
      <c r="U46" s="14" t="n"/>
    </row>
    <row r="47">
      <c r="H47" s="14" t="n"/>
      <c r="I47" s="14" t="n"/>
      <c r="K47" s="14" t="n"/>
      <c r="L47" s="14" t="n"/>
      <c r="R47" s="14" t="n"/>
      <c r="S47" s="14" t="n"/>
      <c r="T47" s="14" t="n"/>
      <c r="U47" s="14" t="n"/>
    </row>
    <row r="48">
      <c r="H48" s="14" t="n"/>
      <c r="I48" s="14" t="n"/>
      <c r="K48" s="14" t="n"/>
      <c r="L48" s="14" t="n"/>
      <c r="R48" s="14" t="n"/>
      <c r="S48" s="14" t="n"/>
      <c r="T48" s="14" t="n"/>
      <c r="U48" s="14" t="n"/>
    </row>
    <row r="49">
      <c r="H49" s="14" t="n"/>
      <c r="I49" s="14" t="n"/>
      <c r="K49" s="14" t="n"/>
      <c r="L49" s="14" t="n"/>
      <c r="R49" s="14" t="n"/>
      <c r="S49" s="14" t="n"/>
      <c r="T49" s="14" t="n"/>
      <c r="U49" s="14" t="n"/>
    </row>
    <row r="50">
      <c r="H50" s="14" t="n"/>
      <c r="I50" s="14" t="n"/>
      <c r="K50" s="14" t="n"/>
      <c r="L50" s="14" t="n"/>
      <c r="R50" s="14" t="n"/>
      <c r="S50" s="14" t="n"/>
      <c r="T50" s="14" t="n"/>
      <c r="U50" s="14" t="n"/>
    </row>
    <row r="51">
      <c r="H51" s="14" t="n"/>
      <c r="I51" s="14" t="n"/>
      <c r="K51" s="14" t="n"/>
      <c r="L51" s="14" t="n"/>
      <c r="R51" s="14" t="n"/>
      <c r="S51" s="14" t="n"/>
      <c r="T51" s="14" t="n"/>
      <c r="U51" s="14" t="n"/>
    </row>
    <row r="52">
      <c r="H52" s="14" t="n"/>
      <c r="I52" s="14" t="n"/>
      <c r="K52" s="14" t="n"/>
      <c r="L52" s="14" t="n"/>
      <c r="R52" s="14" t="n"/>
      <c r="S52" s="14" t="n"/>
      <c r="T52" s="14" t="n"/>
      <c r="U52" s="14" t="n"/>
    </row>
    <row r="53">
      <c r="H53" s="14" t="n"/>
      <c r="I53" s="14" t="n"/>
      <c r="K53" s="14" t="n"/>
      <c r="L53" s="14" t="n"/>
      <c r="R53" s="14" t="n"/>
      <c r="S53" s="14" t="n"/>
      <c r="T53" s="14" t="n"/>
      <c r="U53" s="14" t="n"/>
    </row>
    <row r="54">
      <c r="H54" s="14" t="n"/>
      <c r="I54" s="14" t="n"/>
      <c r="K54" s="14" t="n"/>
      <c r="L54" s="14" t="n"/>
      <c r="R54" s="14" t="n"/>
      <c r="S54" s="14" t="n"/>
      <c r="T54" s="14" t="n"/>
      <c r="U54" s="14" t="n"/>
    </row>
    <row r="55">
      <c r="H55" s="14" t="n"/>
      <c r="I55" s="14" t="n"/>
      <c r="K55" s="14" t="n"/>
      <c r="L55" s="14" t="n"/>
      <c r="R55" s="14" t="n"/>
      <c r="S55" s="14" t="n"/>
      <c r="T55" s="14" t="n"/>
      <c r="U55" s="14" t="n"/>
    </row>
    <row r="56">
      <c r="H56" s="14" t="n"/>
      <c r="I56" s="14" t="n"/>
      <c r="K56" s="14" t="n"/>
      <c r="L56" s="14" t="n"/>
      <c r="R56" s="14" t="n"/>
      <c r="S56" s="14" t="n"/>
      <c r="T56" s="14" t="n"/>
      <c r="U56" s="14" t="n"/>
    </row>
    <row r="57">
      <c r="H57" s="14" t="n"/>
      <c r="I57" s="14" t="n"/>
      <c r="K57" s="14" t="n"/>
      <c r="L57" s="14" t="n"/>
      <c r="R57" s="14" t="n"/>
      <c r="S57" s="14" t="n"/>
      <c r="T57" s="14" t="n"/>
      <c r="U57" s="14" t="n"/>
    </row>
    <row r="58">
      <c r="H58" s="14" t="n"/>
      <c r="I58" s="14" t="n"/>
      <c r="K58" s="14" t="n"/>
      <c r="L58" s="14" t="n"/>
      <c r="R58" s="14" t="n"/>
      <c r="S58" s="14" t="n"/>
      <c r="T58" s="14" t="n"/>
      <c r="U58" s="14" t="n"/>
    </row>
    <row r="59">
      <c r="H59" s="14" t="n"/>
      <c r="I59" s="14" t="n"/>
      <c r="K59" s="14" t="n"/>
      <c r="L59" s="14" t="n"/>
      <c r="R59" s="14" t="n"/>
      <c r="S59" s="14" t="n"/>
      <c r="T59" s="14" t="n"/>
      <c r="U59" s="14" t="n"/>
    </row>
    <row r="60">
      <c r="H60" s="14" t="n"/>
      <c r="I60" s="14" t="n"/>
      <c r="K60" s="14" t="n"/>
      <c r="L60" s="14" t="n"/>
      <c r="R60" s="14" t="n"/>
      <c r="S60" s="14" t="n"/>
      <c r="T60" s="14" t="n"/>
      <c r="U60" s="14" t="n"/>
    </row>
    <row r="61">
      <c r="H61" s="14" t="n"/>
      <c r="I61" s="14" t="n"/>
      <c r="K61" s="14" t="n"/>
      <c r="L61" s="14" t="n"/>
      <c r="R61" s="14" t="n"/>
      <c r="S61" s="14" t="n"/>
      <c r="T61" s="14" t="n"/>
      <c r="U61" s="14" t="n"/>
    </row>
    <row r="62">
      <c r="H62" s="14" t="n"/>
      <c r="I62" s="14" t="n"/>
      <c r="K62" s="14" t="n"/>
      <c r="L62" s="14" t="n"/>
      <c r="R62" s="14" t="n"/>
      <c r="S62" s="14" t="n"/>
      <c r="T62" s="14" t="n"/>
      <c r="U62" s="14" t="n"/>
    </row>
    <row r="63">
      <c r="H63" s="14" t="n"/>
      <c r="I63" s="14" t="n"/>
      <c r="K63" s="14" t="n"/>
      <c r="L63" s="14" t="n"/>
      <c r="R63" s="14" t="n"/>
      <c r="S63" s="14" t="n"/>
      <c r="T63" s="14" t="n"/>
      <c r="U63" s="14" t="n"/>
    </row>
    <row r="64">
      <c r="H64" s="14" t="n"/>
      <c r="I64" s="14" t="n"/>
      <c r="K64" s="14" t="n"/>
      <c r="L64" s="14" t="n"/>
      <c r="R64" s="14" t="n"/>
      <c r="S64" s="14" t="n"/>
      <c r="T64" s="14" t="n"/>
      <c r="U64" s="14" t="n"/>
    </row>
    <row r="65">
      <c r="H65" s="14" t="n"/>
      <c r="I65" s="14" t="n"/>
      <c r="K65" s="14" t="n"/>
      <c r="L65" s="14" t="n"/>
      <c r="R65" s="14" t="n"/>
      <c r="S65" s="14" t="n"/>
      <c r="T65" s="14" t="n"/>
      <c r="U65" s="14" t="n"/>
    </row>
    <row r="66">
      <c r="H66" s="14" t="n"/>
      <c r="I66" s="14" t="n"/>
      <c r="K66" s="14" t="n"/>
      <c r="L66" s="14" t="n"/>
      <c r="R66" s="14" t="n"/>
      <c r="S66" s="14" t="n"/>
      <c r="T66" s="14" t="n"/>
      <c r="U66" s="14" t="n"/>
    </row>
    <row r="67">
      <c r="H67" s="14" t="n"/>
      <c r="I67" s="14" t="n"/>
      <c r="K67" s="14" t="n"/>
      <c r="L67" s="14" t="n"/>
      <c r="R67" s="14" t="n"/>
      <c r="S67" s="14" t="n"/>
      <c r="T67" s="14" t="n"/>
      <c r="U67" s="14" t="n"/>
    </row>
    <row r="68">
      <c r="H68" s="14" t="n"/>
      <c r="I68" s="14" t="n"/>
      <c r="K68" s="14" t="n"/>
      <c r="L68" s="14" t="n"/>
      <c r="R68" s="14" t="n"/>
      <c r="S68" s="14" t="n"/>
      <c r="T68" s="14" t="n"/>
      <c r="U68" s="14" t="n"/>
    </row>
    <row r="69">
      <c r="H69" s="14" t="n"/>
      <c r="I69" s="14" t="n"/>
      <c r="K69" s="14" t="n"/>
      <c r="L69" s="14" t="n"/>
      <c r="R69" s="14" t="n"/>
      <c r="S69" s="14" t="n"/>
      <c r="T69" s="14" t="n"/>
      <c r="U69" s="14" t="n"/>
    </row>
    <row r="70">
      <c r="H70" s="14" t="n"/>
      <c r="I70" s="14" t="n"/>
      <c r="K70" s="14" t="n"/>
      <c r="L70" s="14" t="n"/>
      <c r="R70" s="14" t="n"/>
      <c r="S70" s="14" t="n"/>
      <c r="T70" s="14" t="n"/>
      <c r="U70" s="14" t="n"/>
    </row>
    <row r="71">
      <c r="H71" s="14" t="n"/>
      <c r="I71" s="14" t="n"/>
      <c r="K71" s="14" t="n"/>
      <c r="L71" s="14" t="n"/>
      <c r="R71" s="14" t="n"/>
      <c r="S71" s="14" t="n"/>
      <c r="T71" s="14" t="n"/>
      <c r="U71" s="14" t="n"/>
    </row>
    <row r="72">
      <c r="H72" s="14" t="n"/>
      <c r="I72" s="14" t="n"/>
      <c r="K72" s="14" t="n"/>
      <c r="L72" s="14" t="n"/>
      <c r="R72" s="14" t="n"/>
      <c r="S72" s="14" t="n"/>
      <c r="T72" s="14" t="n"/>
      <c r="U72" s="14" t="n"/>
    </row>
    <row r="73">
      <c r="H73" s="14" t="n"/>
      <c r="I73" s="14" t="n"/>
      <c r="K73" s="14" t="n"/>
      <c r="L73" s="14" t="n"/>
      <c r="R73" s="14" t="n"/>
      <c r="S73" s="14" t="n"/>
      <c r="T73" s="14" t="n"/>
      <c r="U73" s="14" t="n"/>
    </row>
    <row r="74">
      <c r="H74" s="14" t="n"/>
      <c r="I74" s="14" t="n"/>
      <c r="K74" s="14" t="n"/>
      <c r="L74" s="14" t="n"/>
      <c r="R74" s="14" t="n"/>
      <c r="S74" s="14" t="n"/>
      <c r="T74" s="14" t="n"/>
      <c r="U74" s="14" t="n"/>
    </row>
    <row r="75">
      <c r="H75" s="14" t="n"/>
      <c r="I75" s="14" t="n"/>
      <c r="K75" s="14" t="n"/>
      <c r="L75" s="14" t="n"/>
      <c r="R75" s="14" t="n"/>
      <c r="S75" s="14" t="n"/>
      <c r="T75" s="14" t="n"/>
      <c r="U75" s="14" t="n"/>
    </row>
    <row r="76">
      <c r="H76" s="14" t="n"/>
      <c r="I76" s="14" t="n"/>
      <c r="K76" s="14" t="n"/>
      <c r="L76" s="14" t="n"/>
      <c r="R76" s="14" t="n"/>
      <c r="S76" s="14" t="n"/>
      <c r="T76" s="14" t="n"/>
      <c r="U76" s="14" t="n"/>
    </row>
    <row r="77">
      <c r="H77" s="14" t="n"/>
      <c r="I77" s="14" t="n"/>
      <c r="K77" s="14" t="n"/>
      <c r="L77" s="14" t="n"/>
      <c r="R77" s="14" t="n"/>
      <c r="S77" s="14" t="n"/>
      <c r="T77" s="14" t="n"/>
      <c r="U77" s="14" t="n"/>
    </row>
    <row r="78">
      <c r="H78" s="14" t="n"/>
      <c r="I78" s="14" t="n"/>
      <c r="K78" s="14" t="n"/>
      <c r="L78" s="14" t="n"/>
      <c r="R78" s="14" t="n"/>
      <c r="S78" s="14" t="n"/>
      <c r="T78" s="14" t="n"/>
      <c r="U78" s="14" t="n"/>
    </row>
    <row r="79">
      <c r="H79" s="14" t="n"/>
      <c r="I79" s="14" t="n"/>
      <c r="K79" s="14" t="n"/>
      <c r="L79" s="14" t="n"/>
      <c r="R79" s="14" t="n"/>
      <c r="S79" s="14" t="n"/>
      <c r="T79" s="14" t="n"/>
      <c r="U79" s="14" t="n"/>
    </row>
    <row r="80">
      <c r="H80" s="14" t="n"/>
      <c r="I80" s="14" t="n"/>
      <c r="K80" s="14" t="n"/>
      <c r="L80" s="14" t="n"/>
      <c r="R80" s="14" t="n"/>
      <c r="S80" s="14" t="n"/>
      <c r="T80" s="14" t="n"/>
      <c r="U80" s="14" t="n"/>
    </row>
    <row r="81">
      <c r="H81" s="14" t="n"/>
      <c r="I81" s="14" t="n"/>
      <c r="K81" s="14" t="n"/>
      <c r="L81" s="14" t="n"/>
      <c r="R81" s="14" t="n"/>
      <c r="S81" s="14" t="n"/>
      <c r="T81" s="14" t="n"/>
      <c r="U81" s="14" t="n"/>
    </row>
    <row r="82">
      <c r="H82" s="14" t="n"/>
      <c r="I82" s="14" t="n"/>
      <c r="K82" s="14" t="n"/>
      <c r="L82" s="14" t="n"/>
      <c r="R82" s="14" t="n"/>
      <c r="S82" s="14" t="n"/>
      <c r="T82" s="14" t="n"/>
      <c r="U82" s="14" t="n"/>
    </row>
    <row r="83">
      <c r="H83" s="14" t="n"/>
      <c r="I83" s="14" t="n"/>
      <c r="K83" s="14" t="n"/>
      <c r="L83" s="14" t="n"/>
      <c r="R83" s="14" t="n"/>
      <c r="S83" s="14" t="n"/>
      <c r="T83" s="14" t="n"/>
      <c r="U83" s="14" t="n"/>
    </row>
    <row r="84">
      <c r="H84" s="14" t="n"/>
      <c r="I84" s="14" t="n"/>
      <c r="K84" s="14" t="n"/>
      <c r="L84" s="14" t="n"/>
      <c r="R84" s="14" t="n"/>
      <c r="S84" s="14" t="n"/>
      <c r="T84" s="14" t="n"/>
      <c r="U84" s="14" t="n"/>
    </row>
    <row r="85">
      <c r="H85" s="14" t="n"/>
      <c r="I85" s="14" t="n"/>
      <c r="K85" s="14" t="n"/>
      <c r="L85" s="14" t="n"/>
      <c r="R85" s="14" t="n"/>
      <c r="S85" s="14" t="n"/>
      <c r="T85" s="14" t="n"/>
      <c r="U85" s="14" t="n"/>
    </row>
    <row r="86">
      <c r="H86" s="14" t="n"/>
      <c r="I86" s="14" t="n"/>
      <c r="K86" s="14" t="n"/>
      <c r="L86" s="14" t="n"/>
      <c r="R86" s="14" t="n"/>
      <c r="S86" s="14" t="n"/>
      <c r="T86" s="14" t="n"/>
      <c r="U86" s="14" t="n"/>
    </row>
    <row r="87">
      <c r="H87" s="14" t="n"/>
      <c r="I87" s="14" t="n"/>
      <c r="K87" s="14" t="n"/>
      <c r="L87" s="14" t="n"/>
      <c r="R87" s="14" t="n"/>
      <c r="S87" s="14" t="n"/>
      <c r="T87" s="14" t="n"/>
      <c r="U87" s="14" t="n"/>
    </row>
    <row r="88">
      <c r="H88" s="14" t="n"/>
      <c r="I88" s="14" t="n"/>
      <c r="K88" s="14" t="n"/>
      <c r="L88" s="14" t="n"/>
      <c r="R88" s="14" t="n"/>
      <c r="S88" s="14" t="n"/>
      <c r="T88" s="14" t="n"/>
      <c r="U88" s="14" t="n"/>
    </row>
    <row r="89">
      <c r="H89" s="14" t="n"/>
      <c r="I89" s="14" t="n"/>
      <c r="K89" s="14" t="n"/>
      <c r="L89" s="14" t="n"/>
      <c r="R89" s="14" t="n"/>
      <c r="S89" s="14" t="n"/>
      <c r="T89" s="14" t="n"/>
      <c r="U89" s="14" t="n"/>
    </row>
    <row r="90">
      <c r="H90" s="14" t="n"/>
      <c r="I90" s="14" t="n"/>
      <c r="K90" s="14" t="n"/>
      <c r="L90" s="14" t="n"/>
      <c r="R90" s="14" t="n"/>
      <c r="S90" s="14" t="n"/>
      <c r="T90" s="14" t="n"/>
      <c r="U90" s="14" t="n"/>
    </row>
    <row r="91">
      <c r="H91" s="14" t="n"/>
      <c r="I91" s="14" t="n"/>
      <c r="K91" s="14" t="n"/>
      <c r="L91" s="14" t="n"/>
      <c r="R91" s="14" t="n"/>
      <c r="S91" s="14" t="n"/>
      <c r="T91" s="14" t="n"/>
      <c r="U91" s="14" t="n"/>
    </row>
    <row r="92">
      <c r="H92" s="14" t="n"/>
      <c r="I92" s="14" t="n"/>
      <c r="K92" s="14" t="n"/>
      <c r="L92" s="14" t="n"/>
      <c r="R92" s="14" t="n"/>
      <c r="S92" s="14" t="n"/>
      <c r="T92" s="14" t="n"/>
      <c r="U92" s="14" t="n"/>
    </row>
    <row r="93">
      <c r="H93" s="14" t="n"/>
      <c r="I93" s="14" t="n"/>
      <c r="K93" s="14" t="n"/>
      <c r="L93" s="14" t="n"/>
      <c r="R93" s="14" t="n"/>
      <c r="S93" s="14" t="n"/>
      <c r="T93" s="14" t="n"/>
      <c r="U93" s="14" t="n"/>
    </row>
    <row r="94">
      <c r="H94" s="14" t="n"/>
      <c r="I94" s="14" t="n"/>
      <c r="K94" s="14" t="n"/>
      <c r="L94" s="14" t="n"/>
      <c r="R94" s="14" t="n"/>
      <c r="S94" s="14" t="n"/>
      <c r="T94" s="14" t="n"/>
      <c r="U94" s="14" t="n"/>
    </row>
    <row r="95">
      <c r="H95" s="14" t="n"/>
      <c r="I95" s="14" t="n"/>
      <c r="K95" s="14" t="n"/>
      <c r="L95" s="14" t="n"/>
      <c r="R95" s="14" t="n"/>
      <c r="S95" s="14" t="n"/>
      <c r="T95" s="14" t="n"/>
      <c r="U95" s="14" t="n"/>
    </row>
    <row r="96">
      <c r="H96" s="14" t="n"/>
      <c r="I96" s="14" t="n"/>
      <c r="K96" s="14" t="n"/>
      <c r="L96" s="14" t="n"/>
      <c r="R96" s="14" t="n"/>
      <c r="S96" s="14" t="n"/>
      <c r="T96" s="14" t="n"/>
      <c r="U96" s="14" t="n"/>
    </row>
    <row r="97">
      <c r="H97" s="14" t="n"/>
      <c r="I97" s="14" t="n"/>
      <c r="K97" s="14" t="n"/>
      <c r="L97" s="14" t="n"/>
      <c r="R97" s="14" t="n"/>
      <c r="S97" s="14" t="n"/>
      <c r="T97" s="14" t="n"/>
      <c r="U97" s="14" t="n"/>
    </row>
    <row r="98">
      <c r="H98" s="14" t="n"/>
      <c r="I98" s="14" t="n"/>
      <c r="K98" s="14" t="n"/>
      <c r="L98" s="14" t="n"/>
      <c r="R98" s="14" t="n"/>
      <c r="S98" s="14" t="n"/>
      <c r="T98" s="14" t="n"/>
      <c r="U98" s="14" t="n"/>
    </row>
    <row r="99">
      <c r="H99" s="14" t="n"/>
      <c r="I99" s="14" t="n"/>
      <c r="K99" s="14" t="n"/>
      <c r="L99" s="14" t="n"/>
      <c r="R99" s="14" t="n"/>
      <c r="S99" s="14" t="n"/>
      <c r="T99" s="14" t="n"/>
      <c r="U99" s="14" t="n"/>
    </row>
    <row r="100">
      <c r="H100" s="14" t="n"/>
      <c r="I100" s="14" t="n"/>
      <c r="K100" s="14" t="n"/>
      <c r="L100" s="14" t="n"/>
      <c r="R100" s="14" t="n"/>
      <c r="S100" s="14" t="n"/>
      <c r="T100" s="14" t="n"/>
      <c r="U100" s="14" t="n"/>
    </row>
    <row r="101">
      <c r="H101" s="14" t="n"/>
      <c r="I101" s="14" t="n"/>
      <c r="K101" s="14" t="n"/>
      <c r="L101" s="14" t="n"/>
      <c r="R101" s="14" t="n"/>
      <c r="S101" s="14" t="n"/>
      <c r="T101" s="14" t="n"/>
      <c r="U101" s="14" t="n"/>
    </row>
    <row r="102">
      <c r="H102" s="14" t="n"/>
      <c r="I102" s="14" t="n"/>
      <c r="K102" s="14" t="n"/>
      <c r="L102" s="14" t="n"/>
      <c r="R102" s="14" t="n"/>
      <c r="S102" s="14" t="n"/>
      <c r="T102" s="14" t="n"/>
      <c r="U102" s="14" t="n"/>
    </row>
    <row r="103">
      <c r="H103" s="14" t="n"/>
      <c r="I103" s="14" t="n"/>
      <c r="K103" s="14" t="n"/>
      <c r="L103" s="14" t="n"/>
      <c r="R103" s="14" t="n"/>
      <c r="S103" s="14" t="n"/>
      <c r="T103" s="14" t="n"/>
      <c r="U103" s="14" t="n"/>
    </row>
    <row r="104">
      <c r="H104" s="14" t="n"/>
      <c r="I104" s="14" t="n"/>
      <c r="K104" s="14" t="n"/>
      <c r="L104" s="14" t="n"/>
      <c r="R104" s="14" t="n"/>
      <c r="S104" s="14" t="n"/>
      <c r="T104" s="14" t="n"/>
      <c r="U104" s="14" t="n"/>
    </row>
    <row r="105">
      <c r="H105" s="14" t="n"/>
      <c r="I105" s="14" t="n"/>
      <c r="K105" s="14" t="n"/>
      <c r="L105" s="14" t="n"/>
      <c r="R105" s="14" t="n"/>
      <c r="S105" s="14" t="n"/>
      <c r="T105" s="14" t="n"/>
      <c r="U105" s="14" t="n"/>
    </row>
    <row r="106">
      <c r="H106" s="14" t="n"/>
      <c r="I106" s="14" t="n"/>
      <c r="K106" s="14" t="n"/>
      <c r="L106" s="14" t="n"/>
      <c r="R106" s="14" t="n"/>
      <c r="S106" s="14" t="n"/>
      <c r="T106" s="14" t="n"/>
      <c r="U106" s="14" t="n"/>
    </row>
    <row r="107">
      <c r="H107" s="14" t="n"/>
      <c r="I107" s="14" t="n"/>
      <c r="K107" s="14" t="n"/>
      <c r="L107" s="14" t="n"/>
      <c r="R107" s="14" t="n"/>
      <c r="S107" s="14" t="n"/>
      <c r="T107" s="14" t="n"/>
      <c r="U107" s="14" t="n"/>
    </row>
    <row r="108">
      <c r="H108" s="14" t="n"/>
      <c r="I108" s="14" t="n"/>
      <c r="K108" s="14" t="n"/>
      <c r="L108" s="14" t="n"/>
      <c r="R108" s="14" t="n"/>
      <c r="S108" s="14" t="n"/>
      <c r="T108" s="14" t="n"/>
      <c r="U108" s="14" t="n"/>
    </row>
    <row r="109">
      <c r="H109" s="14" t="n"/>
      <c r="I109" s="14" t="n"/>
      <c r="K109" s="14" t="n"/>
      <c r="L109" s="14" t="n"/>
      <c r="R109" s="14" t="n"/>
      <c r="S109" s="14" t="n"/>
      <c r="T109" s="14" t="n"/>
      <c r="U109" s="14" t="n"/>
    </row>
    <row r="110">
      <c r="H110" s="14" t="n"/>
      <c r="I110" s="14" t="n"/>
      <c r="K110" s="14" t="n"/>
      <c r="L110" s="14" t="n"/>
      <c r="R110" s="14" t="n"/>
      <c r="S110" s="14" t="n"/>
      <c r="T110" s="14" t="n"/>
      <c r="U110" s="14" t="n"/>
    </row>
    <row r="111">
      <c r="H111" s="14" t="n"/>
      <c r="I111" s="14" t="n"/>
      <c r="K111" s="14" t="n"/>
      <c r="L111" s="14" t="n"/>
      <c r="R111" s="14" t="n"/>
      <c r="S111" s="14" t="n"/>
      <c r="T111" s="14" t="n"/>
      <c r="U111" s="14" t="n"/>
    </row>
    <row r="112">
      <c r="H112" s="14" t="n"/>
      <c r="I112" s="14" t="n"/>
      <c r="K112" s="14" t="n"/>
      <c r="L112" s="14" t="n"/>
      <c r="R112" s="14" t="n"/>
      <c r="S112" s="14" t="n"/>
      <c r="T112" s="14" t="n"/>
      <c r="U112" s="14" t="n"/>
    </row>
    <row r="113">
      <c r="H113" s="14" t="n"/>
      <c r="I113" s="14" t="n"/>
      <c r="K113" s="14" t="n"/>
      <c r="L113" s="14" t="n"/>
      <c r="R113" s="14" t="n"/>
      <c r="S113" s="14" t="n"/>
      <c r="T113" s="14" t="n"/>
      <c r="U113" s="14" t="n"/>
    </row>
    <row r="114">
      <c r="H114" s="14" t="n"/>
      <c r="I114" s="14" t="n"/>
      <c r="K114" s="14" t="n"/>
      <c r="L114" s="14" t="n"/>
      <c r="R114" s="14" t="n"/>
      <c r="S114" s="14" t="n"/>
      <c r="T114" s="14" t="n"/>
      <c r="U114" s="14" t="n"/>
    </row>
    <row r="115">
      <c r="H115" s="14" t="n"/>
      <c r="I115" s="14" t="n"/>
      <c r="K115" s="14" t="n"/>
      <c r="L115" s="14" t="n"/>
      <c r="R115" s="14" t="n"/>
      <c r="S115" s="14" t="n"/>
      <c r="T115" s="14" t="n"/>
      <c r="U115" s="14" t="n"/>
    </row>
    <row r="116">
      <c r="H116" s="14" t="n"/>
      <c r="I116" s="14" t="n"/>
      <c r="K116" s="14" t="n"/>
      <c r="L116" s="14" t="n"/>
      <c r="R116" s="14" t="n"/>
      <c r="S116" s="14" t="n"/>
      <c r="T116" s="14" t="n"/>
      <c r="U116" s="14" t="n"/>
    </row>
    <row r="117">
      <c r="H117" s="14" t="n"/>
      <c r="I117" s="14" t="n"/>
      <c r="K117" s="14" t="n"/>
      <c r="L117" s="14" t="n"/>
      <c r="R117" s="14" t="n"/>
      <c r="S117" s="14" t="n"/>
      <c r="T117" s="14" t="n"/>
      <c r="U117" s="14" t="n"/>
    </row>
    <row r="118">
      <c r="H118" s="14" t="n"/>
      <c r="I118" s="14" t="n"/>
      <c r="K118" s="14" t="n"/>
      <c r="L118" s="14" t="n"/>
      <c r="R118" s="14" t="n"/>
      <c r="S118" s="14" t="n"/>
      <c r="T118" s="14" t="n"/>
      <c r="U118" s="14" t="n"/>
    </row>
    <row r="119">
      <c r="H119" s="14" t="n"/>
      <c r="I119" s="14" t="n"/>
      <c r="K119" s="14" t="n"/>
      <c r="L119" s="14" t="n"/>
      <c r="R119" s="14" t="n"/>
      <c r="S119" s="14" t="n"/>
      <c r="T119" s="14" t="n"/>
      <c r="U119" s="14" t="n"/>
    </row>
    <row r="120">
      <c r="H120" s="14" t="n"/>
      <c r="I120" s="14" t="n"/>
      <c r="K120" s="14" t="n"/>
      <c r="L120" s="14" t="n"/>
      <c r="R120" s="14" t="n"/>
      <c r="S120" s="14" t="n"/>
      <c r="T120" s="14" t="n"/>
      <c r="U120" s="14" t="n"/>
    </row>
    <row r="121">
      <c r="H121" s="14" t="n"/>
      <c r="I121" s="14" t="n"/>
      <c r="K121" s="14" t="n"/>
      <c r="L121" s="14" t="n"/>
      <c r="R121" s="14" t="n"/>
      <c r="S121" s="14" t="n"/>
      <c r="T121" s="14" t="n"/>
      <c r="U121" s="14" t="n"/>
    </row>
    <row r="122">
      <c r="H122" s="14" t="n"/>
      <c r="I122" s="14" t="n"/>
      <c r="K122" s="14" t="n"/>
      <c r="L122" s="14" t="n"/>
      <c r="R122" s="14" t="n"/>
      <c r="S122" s="14" t="n"/>
      <c r="T122" s="14" t="n"/>
      <c r="U122" s="14" t="n"/>
    </row>
    <row r="123">
      <c r="H123" s="14" t="n"/>
      <c r="I123" s="14" t="n"/>
      <c r="K123" s="14" t="n"/>
      <c r="L123" s="14" t="n"/>
      <c r="R123" s="14" t="n"/>
      <c r="S123" s="14" t="n"/>
      <c r="T123" s="14" t="n"/>
      <c r="U123" s="14" t="n"/>
    </row>
    <row r="124">
      <c r="H124" s="14" t="n"/>
      <c r="I124" s="14" t="n"/>
      <c r="K124" s="14" t="n"/>
      <c r="L124" s="14" t="n"/>
      <c r="R124" s="14" t="n"/>
      <c r="S124" s="14" t="n"/>
      <c r="T124" s="14" t="n"/>
      <c r="U124" s="14" t="n"/>
    </row>
    <row r="125">
      <c r="H125" s="14" t="n"/>
      <c r="I125" s="14" t="n"/>
      <c r="K125" s="14" t="n"/>
      <c r="L125" s="14" t="n"/>
      <c r="R125" s="14" t="n"/>
      <c r="S125" s="14" t="n"/>
      <c r="T125" s="14" t="n"/>
      <c r="U125" s="14" t="n"/>
    </row>
    <row r="126">
      <c r="H126" s="14" t="n"/>
      <c r="I126" s="14" t="n"/>
      <c r="K126" s="14" t="n"/>
      <c r="L126" s="14" t="n"/>
      <c r="R126" s="14" t="n"/>
      <c r="S126" s="14" t="n"/>
      <c r="T126" s="14" t="n"/>
      <c r="U126" s="14" t="n"/>
    </row>
    <row r="127">
      <c r="H127" s="14" t="n"/>
      <c r="I127" s="14" t="n"/>
      <c r="K127" s="14" t="n"/>
      <c r="L127" s="14" t="n"/>
      <c r="R127" s="14" t="n"/>
      <c r="S127" s="14" t="n"/>
      <c r="T127" s="14" t="n"/>
      <c r="U127" s="14" t="n"/>
    </row>
    <row r="128">
      <c r="H128" s="14" t="n"/>
      <c r="I128" s="14" t="n"/>
      <c r="K128" s="14" t="n"/>
      <c r="L128" s="14" t="n"/>
      <c r="R128" s="14" t="n"/>
      <c r="S128" s="14" t="n"/>
      <c r="T128" s="14" t="n"/>
      <c r="U128" s="14" t="n"/>
    </row>
    <row r="129">
      <c r="H129" s="14" t="n"/>
      <c r="I129" s="14" t="n"/>
      <c r="K129" s="14" t="n"/>
      <c r="L129" s="14" t="n"/>
      <c r="R129" s="14" t="n"/>
      <c r="S129" s="14" t="n"/>
      <c r="T129" s="14" t="n"/>
      <c r="U129" s="14" t="n"/>
    </row>
    <row r="130">
      <c r="H130" s="14" t="n"/>
      <c r="I130" s="14" t="n"/>
      <c r="K130" s="14" t="n"/>
      <c r="L130" s="14" t="n"/>
      <c r="R130" s="14" t="n"/>
      <c r="S130" s="14" t="n"/>
      <c r="T130" s="14" t="n"/>
      <c r="U130" s="14" t="n"/>
    </row>
    <row r="131">
      <c r="H131" s="14" t="n"/>
      <c r="I131" s="14" t="n"/>
      <c r="K131" s="14" t="n"/>
      <c r="L131" s="14" t="n"/>
      <c r="R131" s="14" t="n"/>
      <c r="S131" s="14" t="n"/>
      <c r="T131" s="14" t="n"/>
      <c r="U131" s="14" t="n"/>
    </row>
    <row r="132">
      <c r="H132" s="14" t="n"/>
      <c r="I132" s="14" t="n"/>
      <c r="K132" s="14" t="n"/>
      <c r="L132" s="14" t="n"/>
      <c r="R132" s="14" t="n"/>
      <c r="S132" s="14" t="n"/>
      <c r="T132" s="14" t="n"/>
      <c r="U132" s="14" t="n"/>
    </row>
    <row r="133">
      <c r="H133" s="14" t="n"/>
      <c r="I133" s="14" t="n"/>
      <c r="K133" s="14" t="n"/>
      <c r="L133" s="14" t="n"/>
      <c r="R133" s="14" t="n"/>
      <c r="S133" s="14" t="n"/>
      <c r="T133" s="14" t="n"/>
      <c r="U133" s="14" t="n"/>
    </row>
    <row r="134">
      <c r="H134" s="14" t="n"/>
      <c r="I134" s="14" t="n"/>
      <c r="K134" s="14" t="n"/>
      <c r="L134" s="14" t="n"/>
      <c r="R134" s="14" t="n"/>
      <c r="S134" s="14" t="n"/>
      <c r="T134" s="14" t="n"/>
      <c r="U134" s="14" t="n"/>
    </row>
    <row r="135">
      <c r="H135" s="14" t="n"/>
      <c r="I135" s="14" t="n"/>
      <c r="K135" s="14" t="n"/>
      <c r="L135" s="14" t="n"/>
      <c r="R135" s="14" t="n"/>
      <c r="S135" s="14" t="n"/>
      <c r="T135" s="14" t="n"/>
      <c r="U135" s="14" t="n"/>
    </row>
    <row r="136">
      <c r="H136" s="14" t="n"/>
      <c r="I136" s="14" t="n"/>
      <c r="K136" s="14" t="n"/>
      <c r="L136" s="14" t="n"/>
      <c r="R136" s="14" t="n"/>
      <c r="S136" s="14" t="n"/>
      <c r="T136" s="14" t="n"/>
      <c r="U136" s="14" t="n"/>
    </row>
    <row r="137">
      <c r="H137" s="14" t="n"/>
      <c r="I137" s="14" t="n"/>
      <c r="K137" s="14" t="n"/>
      <c r="L137" s="14" t="n"/>
      <c r="R137" s="14" t="n"/>
      <c r="S137" s="14" t="n"/>
      <c r="T137" s="14" t="n"/>
      <c r="U137" s="14" t="n"/>
    </row>
    <row r="138">
      <c r="H138" s="14" t="n"/>
      <c r="I138" s="14" t="n"/>
      <c r="K138" s="14" t="n"/>
      <c r="L138" s="14" t="n"/>
      <c r="R138" s="14" t="n"/>
      <c r="S138" s="14" t="n"/>
      <c r="T138" s="14" t="n"/>
      <c r="U138" s="14" t="n"/>
    </row>
    <row r="139">
      <c r="H139" s="14" t="n"/>
      <c r="I139" s="14" t="n"/>
      <c r="K139" s="14" t="n"/>
      <c r="L139" s="14" t="n"/>
      <c r="R139" s="14" t="n"/>
      <c r="S139" s="14" t="n"/>
      <c r="T139" s="14" t="n"/>
      <c r="U139" s="14" t="n"/>
    </row>
    <row r="140">
      <c r="H140" s="14" t="n"/>
      <c r="I140" s="14" t="n"/>
      <c r="K140" s="14" t="n"/>
      <c r="L140" s="14" t="n"/>
      <c r="R140" s="14" t="n"/>
      <c r="S140" s="14" t="n"/>
      <c r="T140" s="14" t="n"/>
      <c r="U140" s="14" t="n"/>
    </row>
    <row r="141">
      <c r="H141" s="14" t="n"/>
      <c r="I141" s="14" t="n"/>
      <c r="K141" s="14" t="n"/>
      <c r="L141" s="14" t="n"/>
      <c r="R141" s="14" t="n"/>
      <c r="S141" s="14" t="n"/>
      <c r="T141" s="14" t="n"/>
      <c r="U141" s="14" t="n"/>
    </row>
    <row r="142">
      <c r="H142" s="14" t="n"/>
      <c r="I142" s="14" t="n"/>
      <c r="K142" s="14" t="n"/>
      <c r="L142" s="14" t="n"/>
      <c r="R142" s="14" t="n"/>
      <c r="S142" s="14" t="n"/>
      <c r="T142" s="14" t="n"/>
      <c r="U142" s="14" t="n"/>
    </row>
    <row r="143">
      <c r="H143" s="14" t="n"/>
      <c r="I143" s="14" t="n"/>
      <c r="K143" s="14" t="n"/>
      <c r="L143" s="14" t="n"/>
      <c r="R143" s="14" t="n"/>
      <c r="S143" s="14" t="n"/>
      <c r="T143" s="14" t="n"/>
      <c r="U143" s="14" t="n"/>
    </row>
    <row r="144">
      <c r="H144" s="14" t="n"/>
      <c r="I144" s="14" t="n"/>
      <c r="K144" s="14" t="n"/>
      <c r="L144" s="14" t="n"/>
      <c r="R144" s="14" t="n"/>
      <c r="S144" s="14" t="n"/>
      <c r="T144" s="14" t="n"/>
      <c r="U144" s="14" t="n"/>
    </row>
    <row r="145">
      <c r="H145" s="14" t="n"/>
      <c r="I145" s="14" t="n"/>
      <c r="K145" s="14" t="n"/>
      <c r="L145" s="14" t="n"/>
      <c r="R145" s="14" t="n"/>
      <c r="S145" s="14" t="n"/>
      <c r="T145" s="14" t="n"/>
      <c r="U145" s="14" t="n"/>
    </row>
    <row r="146">
      <c r="H146" s="14" t="n"/>
      <c r="I146" s="14" t="n"/>
      <c r="K146" s="14" t="n"/>
      <c r="L146" s="14" t="n"/>
      <c r="R146" s="14" t="n"/>
      <c r="S146" s="14" t="n"/>
      <c r="T146" s="14" t="n"/>
      <c r="U146" s="14" t="n"/>
    </row>
    <row r="147">
      <c r="H147" s="14" t="n"/>
      <c r="I147" s="14" t="n"/>
      <c r="K147" s="14" t="n"/>
      <c r="L147" s="14" t="n"/>
      <c r="R147" s="14" t="n"/>
      <c r="S147" s="14" t="n"/>
      <c r="T147" s="14" t="n"/>
      <c r="U147" s="14" t="n"/>
    </row>
    <row r="148">
      <c r="H148" s="14" t="n"/>
      <c r="I148" s="14" t="n"/>
      <c r="K148" s="14" t="n"/>
      <c r="L148" s="14" t="n"/>
      <c r="R148" s="14" t="n"/>
      <c r="S148" s="14" t="n"/>
      <c r="T148" s="14" t="n"/>
      <c r="U148" s="14" t="n"/>
    </row>
    <row r="149">
      <c r="H149" s="14" t="n"/>
      <c r="I149" s="14" t="n"/>
      <c r="K149" s="14" t="n"/>
      <c r="L149" s="14" t="n"/>
      <c r="R149" s="14" t="n"/>
      <c r="S149" s="14" t="n"/>
      <c r="T149" s="14" t="n"/>
      <c r="U149" s="14" t="n"/>
    </row>
    <row r="150">
      <c r="H150" s="14" t="n"/>
      <c r="I150" s="14" t="n"/>
      <c r="K150" s="14" t="n"/>
      <c r="L150" s="14" t="n"/>
      <c r="R150" s="14" t="n"/>
      <c r="S150" s="14" t="n"/>
      <c r="T150" s="14" t="n"/>
      <c r="U150" s="14" t="n"/>
    </row>
    <row r="151">
      <c r="H151" s="14" t="n"/>
      <c r="I151" s="14" t="n"/>
      <c r="K151" s="14" t="n"/>
      <c r="L151" s="14" t="n"/>
      <c r="R151" s="14" t="n"/>
      <c r="S151" s="14" t="n"/>
      <c r="T151" s="14" t="n"/>
      <c r="U151" s="14" t="n"/>
    </row>
    <row r="152">
      <c r="H152" s="14" t="n"/>
      <c r="I152" s="14" t="n"/>
      <c r="K152" s="14" t="n"/>
      <c r="L152" s="14" t="n"/>
      <c r="R152" s="14" t="n"/>
      <c r="S152" s="14" t="n"/>
      <c r="T152" s="14" t="n"/>
      <c r="U152" s="14" t="n"/>
    </row>
    <row r="153">
      <c r="H153" s="14" t="n"/>
      <c r="I153" s="14" t="n"/>
      <c r="K153" s="14" t="n"/>
      <c r="L153" s="14" t="n"/>
      <c r="R153" s="14" t="n"/>
      <c r="S153" s="14" t="n"/>
      <c r="T153" s="14" t="n"/>
      <c r="U153" s="14" t="n"/>
    </row>
    <row r="154">
      <c r="H154" s="14" t="n"/>
      <c r="I154" s="14" t="n"/>
      <c r="K154" s="14" t="n"/>
      <c r="L154" s="14" t="n"/>
      <c r="R154" s="14" t="n"/>
      <c r="S154" s="14" t="n"/>
      <c r="T154" s="14" t="n"/>
      <c r="U154" s="14" t="n"/>
    </row>
    <row r="155">
      <c r="H155" s="14" t="n"/>
      <c r="I155" s="14" t="n"/>
      <c r="K155" s="14" t="n"/>
      <c r="L155" s="14" t="n"/>
      <c r="R155" s="14" t="n"/>
      <c r="S155" s="14" t="n"/>
      <c r="T155" s="14" t="n"/>
      <c r="U155" s="14" t="n"/>
    </row>
    <row r="156">
      <c r="H156" s="14" t="n"/>
      <c r="I156" s="14" t="n"/>
      <c r="K156" s="14" t="n"/>
      <c r="L156" s="14" t="n"/>
      <c r="R156" s="14" t="n"/>
      <c r="S156" s="14" t="n"/>
      <c r="T156" s="14" t="n"/>
      <c r="U156" s="14" t="n"/>
    </row>
    <row r="157">
      <c r="H157" s="14" t="n"/>
      <c r="I157" s="14" t="n"/>
      <c r="K157" s="14" t="n"/>
      <c r="L157" s="14" t="n"/>
      <c r="R157" s="14" t="n"/>
      <c r="S157" s="14" t="n"/>
      <c r="T157" s="14" t="n"/>
      <c r="U157" s="14" t="n"/>
    </row>
    <row r="158">
      <c r="H158" s="14" t="n"/>
      <c r="I158" s="14" t="n"/>
      <c r="K158" s="14" t="n"/>
      <c r="L158" s="14" t="n"/>
      <c r="R158" s="14" t="n"/>
      <c r="S158" s="14" t="n"/>
      <c r="T158" s="14" t="n"/>
      <c r="U158" s="14" t="n"/>
    </row>
    <row r="159">
      <c r="H159" s="14" t="n"/>
      <c r="I159" s="14" t="n"/>
      <c r="K159" s="14" t="n"/>
      <c r="L159" s="14" t="n"/>
      <c r="R159" s="14" t="n"/>
      <c r="S159" s="14" t="n"/>
      <c r="T159" s="14" t="n"/>
      <c r="U159" s="14" t="n"/>
    </row>
    <row r="160">
      <c r="H160" s="14" t="n"/>
      <c r="I160" s="14" t="n"/>
      <c r="K160" s="14" t="n"/>
      <c r="L160" s="14" t="n"/>
      <c r="R160" s="14" t="n"/>
      <c r="S160" s="14" t="n"/>
      <c r="T160" s="14" t="n"/>
      <c r="U160" s="14" t="n"/>
    </row>
    <row r="161">
      <c r="H161" s="14" t="n"/>
      <c r="I161" s="14" t="n"/>
      <c r="K161" s="14" t="n"/>
      <c r="L161" s="14" t="n"/>
      <c r="R161" s="14" t="n"/>
      <c r="S161" s="14" t="n"/>
      <c r="T161" s="14" t="n"/>
      <c r="U161" s="14" t="n"/>
    </row>
    <row r="162">
      <c r="H162" s="14" t="n"/>
      <c r="I162" s="14" t="n"/>
      <c r="K162" s="14" t="n"/>
      <c r="L162" s="14" t="n"/>
      <c r="R162" s="14" t="n"/>
      <c r="S162" s="14" t="n"/>
      <c r="T162" s="14" t="n"/>
      <c r="U162" s="14" t="n"/>
    </row>
    <row r="163">
      <c r="H163" s="14" t="n"/>
      <c r="I163" s="14" t="n"/>
      <c r="K163" s="14" t="n"/>
      <c r="L163" s="14" t="n"/>
      <c r="R163" s="14" t="n"/>
      <c r="S163" s="14" t="n"/>
      <c r="T163" s="14" t="n"/>
      <c r="U163" s="14" t="n"/>
    </row>
    <row r="164">
      <c r="H164" s="14" t="n"/>
      <c r="I164" s="14" t="n"/>
      <c r="K164" s="14" t="n"/>
      <c r="L164" s="14" t="n"/>
      <c r="R164" s="14" t="n"/>
      <c r="S164" s="14" t="n"/>
      <c r="T164" s="14" t="n"/>
      <c r="U164" s="14" t="n"/>
    </row>
    <row r="165">
      <c r="H165" s="14" t="n"/>
      <c r="I165" s="14" t="n"/>
      <c r="K165" s="14" t="n"/>
      <c r="L165" s="14" t="n"/>
      <c r="R165" s="14" t="n"/>
      <c r="S165" s="14" t="n"/>
      <c r="T165" s="14" t="n"/>
      <c r="U165" s="14" t="n"/>
    </row>
    <row r="166">
      <c r="H166" s="14" t="n"/>
      <c r="I166" s="14" t="n"/>
      <c r="K166" s="14" t="n"/>
      <c r="L166" s="14" t="n"/>
      <c r="R166" s="14" t="n"/>
      <c r="S166" s="14" t="n"/>
      <c r="T166" s="14" t="n"/>
      <c r="U166" s="14" t="n"/>
    </row>
    <row r="167">
      <c r="H167" s="14" t="n"/>
      <c r="I167" s="14" t="n"/>
      <c r="K167" s="14" t="n"/>
      <c r="L167" s="14" t="n"/>
      <c r="R167" s="14" t="n"/>
      <c r="S167" s="14" t="n"/>
      <c r="T167" s="14" t="n"/>
      <c r="U167" s="14" t="n"/>
    </row>
    <row r="168">
      <c r="H168" s="14" t="n"/>
      <c r="I168" s="14" t="n"/>
      <c r="K168" s="14" t="n"/>
      <c r="L168" s="14" t="n"/>
      <c r="R168" s="14" t="n"/>
      <c r="S168" s="14" t="n"/>
      <c r="T168" s="14" t="n"/>
      <c r="U168" s="14" t="n"/>
    </row>
    <row r="169">
      <c r="H169" s="14" t="n"/>
      <c r="I169" s="14" t="n"/>
      <c r="K169" s="14" t="n"/>
      <c r="L169" s="14" t="n"/>
      <c r="R169" s="14" t="n"/>
      <c r="S169" s="14" t="n"/>
      <c r="T169" s="14" t="n"/>
      <c r="U169" s="14" t="n"/>
    </row>
    <row r="170">
      <c r="H170" s="14" t="n"/>
      <c r="I170" s="14" t="n"/>
      <c r="K170" s="14" t="n"/>
      <c r="L170" s="14" t="n"/>
      <c r="R170" s="14" t="n"/>
      <c r="S170" s="14" t="n"/>
      <c r="T170" s="14" t="n"/>
      <c r="U170" s="14" t="n"/>
    </row>
    <row r="171">
      <c r="H171" s="14" t="n"/>
      <c r="I171" s="14" t="n"/>
      <c r="K171" s="14" t="n"/>
      <c r="L171" s="14" t="n"/>
      <c r="R171" s="14" t="n"/>
      <c r="S171" s="14" t="n"/>
      <c r="T171" s="14" t="n"/>
      <c r="U171" s="14" t="n"/>
    </row>
    <row r="172">
      <c r="H172" s="14" t="n"/>
      <c r="I172" s="14" t="n"/>
      <c r="K172" s="14" t="n"/>
      <c r="L172" s="14" t="n"/>
      <c r="R172" s="14" t="n"/>
      <c r="S172" s="14" t="n"/>
      <c r="T172" s="14" t="n"/>
      <c r="U172" s="14" t="n"/>
    </row>
    <row r="173">
      <c r="H173" s="14" t="n"/>
      <c r="I173" s="14" t="n"/>
      <c r="K173" s="14" t="n"/>
      <c r="L173" s="14" t="n"/>
      <c r="R173" s="14" t="n"/>
      <c r="S173" s="14" t="n"/>
      <c r="T173" s="14" t="n"/>
      <c r="U173" s="14" t="n"/>
    </row>
    <row r="174">
      <c r="H174" s="14" t="n"/>
      <c r="I174" s="14" t="n"/>
      <c r="K174" s="14" t="n"/>
      <c r="L174" s="14" t="n"/>
      <c r="R174" s="14" t="n"/>
      <c r="S174" s="14" t="n"/>
      <c r="T174" s="14" t="n"/>
      <c r="U174" s="14" t="n"/>
    </row>
    <row r="175">
      <c r="H175" s="14" t="n"/>
      <c r="I175" s="14" t="n"/>
      <c r="K175" s="14" t="n"/>
      <c r="L175" s="14" t="n"/>
      <c r="R175" s="14" t="n"/>
      <c r="S175" s="14" t="n"/>
      <c r="T175" s="14" t="n"/>
      <c r="U175" s="14" t="n"/>
    </row>
    <row r="176">
      <c r="H176" s="14" t="n"/>
      <c r="I176" s="14" t="n"/>
      <c r="K176" s="14" t="n"/>
      <c r="L176" s="14" t="n"/>
      <c r="R176" s="14" t="n"/>
      <c r="S176" s="14" t="n"/>
      <c r="T176" s="14" t="n"/>
      <c r="U176" s="14" t="n"/>
    </row>
    <row r="177">
      <c r="H177" s="14" t="n"/>
      <c r="I177" s="14" t="n"/>
      <c r="K177" s="14" t="n"/>
      <c r="L177" s="14" t="n"/>
      <c r="R177" s="14" t="n"/>
      <c r="S177" s="14" t="n"/>
      <c r="T177" s="14" t="n"/>
      <c r="U177" s="14" t="n"/>
    </row>
    <row r="178">
      <c r="H178" s="14" t="n"/>
      <c r="I178" s="14" t="n"/>
      <c r="K178" s="14" t="n"/>
      <c r="L178" s="14" t="n"/>
      <c r="R178" s="14" t="n"/>
      <c r="S178" s="14" t="n"/>
      <c r="T178" s="14" t="n"/>
      <c r="U178" s="14" t="n"/>
    </row>
    <row r="179">
      <c r="H179" s="14" t="n"/>
      <c r="I179" s="14" t="n"/>
      <c r="K179" s="14" t="n"/>
      <c r="L179" s="14" t="n"/>
      <c r="R179" s="14" t="n"/>
      <c r="S179" s="14" t="n"/>
      <c r="T179" s="14" t="n"/>
      <c r="U179" s="14" t="n"/>
    </row>
    <row r="180">
      <c r="H180" s="14" t="n"/>
      <c r="I180" s="14" t="n"/>
      <c r="K180" s="14" t="n"/>
      <c r="L180" s="14" t="n"/>
      <c r="R180" s="14" t="n"/>
      <c r="S180" s="14" t="n"/>
      <c r="T180" s="14" t="n"/>
      <c r="U180" s="14" t="n"/>
    </row>
    <row r="181">
      <c r="H181" s="14" t="n"/>
      <c r="I181" s="14" t="n"/>
      <c r="K181" s="14" t="n"/>
      <c r="L181" s="14" t="n"/>
      <c r="R181" s="14" t="n"/>
      <c r="S181" s="14" t="n"/>
      <c r="T181" s="14" t="n"/>
      <c r="U181" s="14" t="n"/>
    </row>
    <row r="182">
      <c r="H182" s="14" t="n"/>
      <c r="I182" s="14" t="n"/>
      <c r="K182" s="14" t="n"/>
      <c r="L182" s="14" t="n"/>
      <c r="R182" s="14" t="n"/>
      <c r="S182" s="14" t="n"/>
      <c r="T182" s="14" t="n"/>
      <c r="U182" s="14" t="n"/>
    </row>
    <row r="183">
      <c r="H183" s="14" t="n"/>
      <c r="I183" s="14" t="n"/>
      <c r="K183" s="14" t="n"/>
      <c r="L183" s="14" t="n"/>
      <c r="R183" s="14" t="n"/>
      <c r="S183" s="14" t="n"/>
      <c r="T183" s="14" t="n"/>
      <c r="U183" s="14" t="n"/>
    </row>
    <row r="184">
      <c r="H184" s="14" t="n"/>
      <c r="I184" s="14" t="n"/>
      <c r="K184" s="14" t="n"/>
      <c r="L184" s="14" t="n"/>
      <c r="R184" s="14" t="n"/>
      <c r="S184" s="14" t="n"/>
      <c r="T184" s="14" t="n"/>
      <c r="U184" s="14" t="n"/>
    </row>
    <row r="185">
      <c r="H185" s="14" t="n"/>
      <c r="I185" s="14" t="n"/>
      <c r="K185" s="14" t="n"/>
      <c r="L185" s="14" t="n"/>
      <c r="R185" s="14" t="n"/>
      <c r="S185" s="14" t="n"/>
      <c r="T185" s="14" t="n"/>
      <c r="U185" s="14" t="n"/>
    </row>
    <row r="186">
      <c r="H186" s="14" t="n"/>
      <c r="I186" s="14" t="n"/>
      <c r="K186" s="14" t="n"/>
      <c r="L186" s="14" t="n"/>
      <c r="R186" s="14" t="n"/>
      <c r="S186" s="14" t="n"/>
      <c r="T186" s="14" t="n"/>
      <c r="U186" s="14" t="n"/>
    </row>
    <row r="187">
      <c r="H187" s="14" t="n"/>
      <c r="I187" s="14" t="n"/>
      <c r="K187" s="14" t="n"/>
      <c r="L187" s="14" t="n"/>
      <c r="R187" s="14" t="n"/>
      <c r="S187" s="14" t="n"/>
      <c r="T187" s="14" t="n"/>
      <c r="U187" s="14" t="n"/>
    </row>
    <row r="188">
      <c r="H188" s="14" t="n"/>
      <c r="I188" s="14" t="n"/>
      <c r="K188" s="14" t="n"/>
      <c r="L188" s="14" t="n"/>
      <c r="R188" s="14" t="n"/>
      <c r="S188" s="14" t="n"/>
      <c r="T188" s="14" t="n"/>
      <c r="U188" s="14" t="n"/>
    </row>
    <row r="189">
      <c r="H189" s="14" t="n"/>
      <c r="I189" s="14" t="n"/>
      <c r="K189" s="14" t="n"/>
      <c r="L189" s="14" t="n"/>
      <c r="R189" s="14" t="n"/>
      <c r="S189" s="14" t="n"/>
      <c r="T189" s="14" t="n"/>
      <c r="U189" s="14" t="n"/>
    </row>
    <row r="190">
      <c r="H190" s="14" t="n"/>
      <c r="I190" s="14" t="n"/>
      <c r="K190" s="14" t="n"/>
      <c r="L190" s="14" t="n"/>
      <c r="R190" s="14" t="n"/>
      <c r="S190" s="14" t="n"/>
      <c r="T190" s="14" t="n"/>
      <c r="U190" s="14" t="n"/>
    </row>
    <row r="191">
      <c r="H191" s="14" t="n"/>
      <c r="I191" s="14" t="n"/>
      <c r="K191" s="14" t="n"/>
      <c r="L191" s="14" t="n"/>
      <c r="R191" s="14" t="n"/>
      <c r="S191" s="14" t="n"/>
      <c r="T191" s="14" t="n"/>
      <c r="U191" s="14" t="n"/>
    </row>
    <row r="192">
      <c r="H192" s="14" t="n"/>
      <c r="I192" s="14" t="n"/>
      <c r="K192" s="14" t="n"/>
      <c r="L192" s="14" t="n"/>
      <c r="R192" s="14" t="n"/>
      <c r="S192" s="14" t="n"/>
      <c r="T192" s="14" t="n"/>
      <c r="U192" s="14" t="n"/>
    </row>
    <row r="193">
      <c r="H193" s="14" t="n"/>
      <c r="I193" s="14" t="n"/>
      <c r="K193" s="14" t="n"/>
      <c r="L193" s="14" t="n"/>
      <c r="R193" s="14" t="n"/>
      <c r="S193" s="14" t="n"/>
      <c r="T193" s="14" t="n"/>
      <c r="U193" s="14" t="n"/>
    </row>
    <row r="194">
      <c r="H194" s="14" t="n"/>
      <c r="I194" s="14" t="n"/>
      <c r="K194" s="14" t="n"/>
      <c r="L194" s="14" t="n"/>
      <c r="R194" s="14" t="n"/>
      <c r="S194" s="14" t="n"/>
      <c r="T194" s="14" t="n"/>
      <c r="U194" s="14" t="n"/>
    </row>
    <row r="195">
      <c r="H195" s="14" t="n"/>
      <c r="I195" s="14" t="n"/>
      <c r="K195" s="14" t="n"/>
      <c r="L195" s="14" t="n"/>
      <c r="R195" s="14" t="n"/>
      <c r="S195" s="14" t="n"/>
      <c r="T195" s="14" t="n"/>
      <c r="U195" s="14" t="n"/>
    </row>
    <row r="196">
      <c r="H196" s="14" t="n"/>
      <c r="I196" s="14" t="n"/>
      <c r="K196" s="14" t="n"/>
      <c r="L196" s="14" t="n"/>
      <c r="R196" s="14" t="n"/>
      <c r="S196" s="14" t="n"/>
      <c r="T196" s="14" t="n"/>
      <c r="U196" s="14" t="n"/>
    </row>
    <row r="197">
      <c r="H197" s="14" t="n"/>
      <c r="I197" s="14" t="n"/>
      <c r="K197" s="14" t="n"/>
      <c r="L197" s="14" t="n"/>
      <c r="R197" s="14" t="n"/>
      <c r="S197" s="14" t="n"/>
      <c r="T197" s="14" t="n"/>
      <c r="U197" s="14" t="n"/>
    </row>
    <row r="198">
      <c r="H198" s="14" t="n"/>
      <c r="I198" s="14" t="n"/>
      <c r="K198" s="14" t="n"/>
      <c r="L198" s="14" t="n"/>
      <c r="R198" s="14" t="n"/>
      <c r="S198" s="14" t="n"/>
      <c r="T198" s="14" t="n"/>
      <c r="U198" s="14" t="n"/>
    </row>
    <row r="199">
      <c r="H199" s="14" t="n"/>
      <c r="I199" s="14" t="n"/>
      <c r="K199" s="14" t="n"/>
      <c r="L199" s="14" t="n"/>
      <c r="R199" s="14" t="n"/>
      <c r="S199" s="14" t="n"/>
      <c r="T199" s="14" t="n"/>
      <c r="U199" s="14" t="n"/>
    </row>
    <row r="200">
      <c r="H200" s="14" t="n"/>
      <c r="I200" s="14" t="n"/>
      <c r="K200" s="14" t="n"/>
      <c r="L200" s="14" t="n"/>
      <c r="R200" s="14" t="n"/>
      <c r="S200" s="14" t="n"/>
      <c r="T200" s="14" t="n"/>
      <c r="U200" s="14" t="n"/>
    </row>
    <row r="201">
      <c r="H201" s="14" t="n"/>
      <c r="I201" s="14" t="n"/>
      <c r="K201" s="14" t="n"/>
      <c r="L201" s="14" t="n"/>
      <c r="R201" s="14" t="n"/>
      <c r="S201" s="14" t="n"/>
      <c r="T201" s="14" t="n"/>
      <c r="U201" s="14" t="n"/>
    </row>
    <row r="202">
      <c r="H202" s="14" t="n"/>
      <c r="I202" s="14" t="n"/>
      <c r="K202" s="14" t="n"/>
      <c r="L202" s="14" t="n"/>
      <c r="R202" s="14" t="n"/>
      <c r="S202" s="14" t="n"/>
      <c r="T202" s="14" t="n"/>
      <c r="U202" s="14" t="n"/>
    </row>
    <row r="203">
      <c r="H203" s="14" t="n"/>
      <c r="I203" s="14" t="n"/>
      <c r="K203" s="14" t="n"/>
      <c r="L203" s="14" t="n"/>
      <c r="R203" s="14" t="n"/>
      <c r="S203" s="14" t="n"/>
      <c r="T203" s="14" t="n"/>
      <c r="U203" s="14" t="n"/>
    </row>
    <row r="204">
      <c r="H204" s="14" t="n"/>
      <c r="I204" s="14" t="n"/>
      <c r="K204" s="14" t="n"/>
      <c r="L204" s="14" t="n"/>
      <c r="R204" s="14" t="n"/>
      <c r="S204" s="14" t="n"/>
      <c r="T204" s="14" t="n"/>
      <c r="U204" s="14" t="n"/>
    </row>
    <row r="205">
      <c r="H205" s="14" t="n"/>
      <c r="I205" s="14" t="n"/>
      <c r="K205" s="14" t="n"/>
      <c r="L205" s="14" t="n"/>
      <c r="R205" s="14" t="n"/>
      <c r="S205" s="14" t="n"/>
      <c r="T205" s="14" t="n"/>
      <c r="U205" s="14" t="n"/>
    </row>
    <row r="206">
      <c r="H206" s="14" t="n"/>
      <c r="I206" s="14" t="n"/>
      <c r="K206" s="14" t="n"/>
      <c r="L206" s="14" t="n"/>
      <c r="R206" s="14" t="n"/>
      <c r="S206" s="14" t="n"/>
      <c r="T206" s="14" t="n"/>
      <c r="U206" s="14" t="n"/>
    </row>
    <row r="207">
      <c r="H207" s="14" t="n"/>
      <c r="I207" s="14" t="n"/>
      <c r="K207" s="14" t="n"/>
      <c r="L207" s="14" t="n"/>
      <c r="R207" s="14" t="n"/>
      <c r="S207" s="14" t="n"/>
      <c r="T207" s="14" t="n"/>
      <c r="U207" s="14" t="n"/>
    </row>
    <row r="208">
      <c r="H208" s="14" t="n"/>
      <c r="I208" s="14" t="n"/>
      <c r="K208" s="14" t="n"/>
      <c r="L208" s="14" t="n"/>
      <c r="R208" s="14" t="n"/>
      <c r="S208" s="14" t="n"/>
      <c r="T208" s="14" t="n"/>
      <c r="U208" s="14" t="n"/>
    </row>
    <row r="209">
      <c r="H209" s="14" t="n"/>
      <c r="I209" s="14" t="n"/>
      <c r="K209" s="14" t="n"/>
      <c r="L209" s="14" t="n"/>
      <c r="R209" s="14" t="n"/>
      <c r="S209" s="14" t="n"/>
      <c r="T209" s="14" t="n"/>
      <c r="U209" s="14" t="n"/>
    </row>
    <row r="210">
      <c r="H210" s="14" t="n"/>
      <c r="I210" s="14" t="n"/>
      <c r="K210" s="14" t="n"/>
      <c r="L210" s="14" t="n"/>
      <c r="R210" s="14" t="n"/>
      <c r="S210" s="14" t="n"/>
      <c r="T210" s="14" t="n"/>
      <c r="U210" s="14" t="n"/>
    </row>
    <row r="211">
      <c r="H211" s="14" t="n"/>
      <c r="I211" s="14" t="n"/>
      <c r="K211" s="14" t="n"/>
      <c r="L211" s="14" t="n"/>
      <c r="R211" s="14" t="n"/>
      <c r="S211" s="14" t="n"/>
      <c r="T211" s="14" t="n"/>
      <c r="U211" s="14" t="n"/>
    </row>
    <row r="212">
      <c r="H212" s="14" t="n"/>
      <c r="I212" s="14" t="n"/>
      <c r="K212" s="14" t="n"/>
      <c r="L212" s="14" t="n"/>
      <c r="R212" s="14" t="n"/>
      <c r="S212" s="14" t="n"/>
      <c r="T212" s="14" t="n"/>
      <c r="U212" s="14" t="n"/>
    </row>
    <row r="213">
      <c r="H213" s="14" t="n"/>
      <c r="I213" s="14" t="n"/>
      <c r="K213" s="14" t="n"/>
      <c r="L213" s="14" t="n"/>
      <c r="R213" s="14" t="n"/>
      <c r="S213" s="14" t="n"/>
      <c r="T213" s="14" t="n"/>
      <c r="U213" s="14" t="n"/>
    </row>
    <row r="214">
      <c r="H214" s="14" t="n"/>
      <c r="I214" s="14" t="n"/>
      <c r="K214" s="14" t="n"/>
      <c r="L214" s="14" t="n"/>
      <c r="R214" s="14" t="n"/>
      <c r="S214" s="14" t="n"/>
      <c r="T214" s="14" t="n"/>
      <c r="U214" s="14" t="n"/>
    </row>
    <row r="215">
      <c r="H215" s="14" t="n"/>
      <c r="I215" s="14" t="n"/>
      <c r="K215" s="14" t="n"/>
      <c r="L215" s="14" t="n"/>
      <c r="R215" s="14" t="n"/>
      <c r="S215" s="14" t="n"/>
      <c r="T215" s="14" t="n"/>
      <c r="U215" s="14" t="n"/>
    </row>
    <row r="216">
      <c r="H216" s="14" t="n"/>
      <c r="I216" s="14" t="n"/>
      <c r="K216" s="14" t="n"/>
      <c r="L216" s="14" t="n"/>
      <c r="R216" s="14" t="n"/>
      <c r="S216" s="14" t="n"/>
      <c r="T216" s="14" t="n"/>
      <c r="U216" s="14" t="n"/>
    </row>
    <row r="217">
      <c r="H217" s="14" t="n"/>
      <c r="I217" s="14" t="n"/>
      <c r="K217" s="14" t="n"/>
      <c r="L217" s="14" t="n"/>
      <c r="R217" s="14" t="n"/>
      <c r="S217" s="14" t="n"/>
      <c r="T217" s="14" t="n"/>
      <c r="U217" s="14" t="n"/>
    </row>
    <row r="218">
      <c r="H218" s="14" t="n"/>
      <c r="I218" s="14" t="n"/>
      <c r="K218" s="14" t="n"/>
      <c r="L218" s="14" t="n"/>
      <c r="R218" s="14" t="n"/>
      <c r="S218" s="14" t="n"/>
      <c r="T218" s="14" t="n"/>
      <c r="U218" s="14" t="n"/>
    </row>
    <row r="219">
      <c r="H219" s="14" t="n"/>
      <c r="I219" s="14" t="n"/>
      <c r="K219" s="14" t="n"/>
      <c r="L219" s="14" t="n"/>
      <c r="R219" s="14" t="n"/>
      <c r="S219" s="14" t="n"/>
      <c r="T219" s="14" t="n"/>
      <c r="U219" s="14" t="n"/>
    </row>
    <row r="220">
      <c r="H220" s="14" t="n"/>
      <c r="I220" s="14" t="n"/>
      <c r="K220" s="14" t="n"/>
      <c r="L220" s="14" t="n"/>
      <c r="R220" s="14" t="n"/>
      <c r="S220" s="14" t="n"/>
      <c r="T220" s="14" t="n"/>
      <c r="U220" s="14" t="n"/>
    </row>
    <row r="221">
      <c r="H221" s="14" t="n"/>
      <c r="I221" s="14" t="n"/>
      <c r="K221" s="14" t="n"/>
      <c r="L221" s="14" t="n"/>
      <c r="R221" s="14" t="n"/>
      <c r="S221" s="14" t="n"/>
      <c r="T221" s="14" t="n"/>
      <c r="U221" s="14" t="n"/>
    </row>
    <row r="222">
      <c r="H222" s="14" t="n"/>
      <c r="I222" s="14" t="n"/>
      <c r="K222" s="14" t="n"/>
      <c r="L222" s="14" t="n"/>
      <c r="R222" s="14" t="n"/>
      <c r="S222" s="14" t="n"/>
      <c r="T222" s="14" t="n"/>
      <c r="U222" s="14" t="n"/>
    </row>
    <row r="223">
      <c r="H223" s="14" t="n"/>
      <c r="I223" s="14" t="n"/>
      <c r="K223" s="14" t="n"/>
      <c r="L223" s="14" t="n"/>
      <c r="R223" s="14" t="n"/>
      <c r="S223" s="14" t="n"/>
      <c r="T223" s="14" t="n"/>
      <c r="U223" s="14" t="n"/>
    </row>
    <row r="224">
      <c r="H224" s="14" t="n"/>
      <c r="I224" s="14" t="n"/>
      <c r="K224" s="14" t="n"/>
      <c r="L224" s="14" t="n"/>
      <c r="R224" s="14" t="n"/>
      <c r="S224" s="14" t="n"/>
      <c r="T224" s="14" t="n"/>
      <c r="U224" s="14" t="n"/>
    </row>
    <row r="225">
      <c r="H225" s="14" t="n"/>
      <c r="I225" s="14" t="n"/>
      <c r="K225" s="14" t="n"/>
      <c r="L225" s="14" t="n"/>
      <c r="R225" s="14" t="n"/>
      <c r="S225" s="14" t="n"/>
      <c r="T225" s="14" t="n"/>
      <c r="U225" s="14" t="n"/>
    </row>
    <row r="226">
      <c r="H226" s="14" t="n"/>
      <c r="I226" s="14" t="n"/>
      <c r="K226" s="14" t="n"/>
      <c r="L226" s="14" t="n"/>
      <c r="R226" s="14" t="n"/>
      <c r="S226" s="14" t="n"/>
      <c r="T226" s="14" t="n"/>
      <c r="U226" s="14" t="n"/>
    </row>
    <row r="227">
      <c r="H227" s="14" t="n"/>
      <c r="I227" s="14" t="n"/>
      <c r="K227" s="14" t="n"/>
      <c r="L227" s="14" t="n"/>
      <c r="R227" s="14" t="n"/>
      <c r="S227" s="14" t="n"/>
      <c r="T227" s="14" t="n"/>
      <c r="U227" s="14" t="n"/>
    </row>
    <row r="228">
      <c r="H228" s="14" t="n"/>
      <c r="I228" s="14" t="n"/>
      <c r="K228" s="14" t="n"/>
      <c r="L228" s="14" t="n"/>
      <c r="R228" s="14" t="n"/>
      <c r="S228" s="14" t="n"/>
      <c r="T228" s="14" t="n"/>
      <c r="U228" s="14" t="n"/>
    </row>
    <row r="229">
      <c r="H229" s="14" t="n"/>
      <c r="I229" s="14" t="n"/>
      <c r="K229" s="14" t="n"/>
      <c r="L229" s="14" t="n"/>
      <c r="R229" s="14" t="n"/>
      <c r="S229" s="14" t="n"/>
      <c r="T229" s="14" t="n"/>
      <c r="U229" s="14" t="n"/>
    </row>
    <row r="230">
      <c r="H230" s="14" t="n"/>
      <c r="I230" s="14" t="n"/>
      <c r="K230" s="14" t="n"/>
      <c r="L230" s="14" t="n"/>
      <c r="R230" s="14" t="n"/>
      <c r="S230" s="14" t="n"/>
      <c r="T230" s="14" t="n"/>
      <c r="U230" s="14" t="n"/>
    </row>
    <row r="231">
      <c r="H231" s="14" t="n"/>
      <c r="I231" s="14" t="n"/>
      <c r="K231" s="14" t="n"/>
      <c r="L231" s="14" t="n"/>
      <c r="R231" s="14" t="n"/>
      <c r="S231" s="14" t="n"/>
      <c r="T231" s="14" t="n"/>
      <c r="U231" s="14" t="n"/>
    </row>
    <row r="232">
      <c r="H232" s="14" t="n"/>
      <c r="I232" s="14" t="n"/>
      <c r="K232" s="14" t="n"/>
      <c r="L232" s="14" t="n"/>
      <c r="R232" s="14" t="n"/>
      <c r="S232" s="14" t="n"/>
      <c r="T232" s="14" t="n"/>
      <c r="U232" s="14" t="n"/>
    </row>
    <row r="233">
      <c r="H233" s="14" t="n"/>
      <c r="I233" s="14" t="n"/>
      <c r="K233" s="14" t="n"/>
      <c r="L233" s="14" t="n"/>
      <c r="R233" s="14" t="n"/>
      <c r="S233" s="14" t="n"/>
      <c r="T233" s="14" t="n"/>
      <c r="U233" s="14" t="n"/>
    </row>
    <row r="234">
      <c r="H234" s="14" t="n"/>
      <c r="I234" s="14" t="n"/>
      <c r="K234" s="14" t="n"/>
      <c r="L234" s="14" t="n"/>
      <c r="R234" s="14" t="n"/>
      <c r="S234" s="14" t="n"/>
      <c r="T234" s="14" t="n"/>
      <c r="U234" s="14" t="n"/>
    </row>
    <row r="235">
      <c r="H235" s="14" t="n"/>
      <c r="I235" s="14" t="n"/>
      <c r="K235" s="14" t="n"/>
      <c r="L235" s="14" t="n"/>
      <c r="R235" s="14" t="n"/>
      <c r="S235" s="14" t="n"/>
      <c r="T235" s="14" t="n"/>
      <c r="U235" s="14" t="n"/>
    </row>
    <row r="236">
      <c r="H236" s="14" t="n"/>
      <c r="I236" s="14" t="n"/>
      <c r="K236" s="14" t="n"/>
      <c r="L236" s="14" t="n"/>
      <c r="R236" s="14" t="n"/>
      <c r="S236" s="14" t="n"/>
      <c r="T236" s="14" t="n"/>
      <c r="U236" s="14" t="n"/>
    </row>
    <row r="237">
      <c r="H237" s="14" t="n"/>
      <c r="I237" s="14" t="n"/>
      <c r="K237" s="14" t="n"/>
      <c r="L237" s="14" t="n"/>
      <c r="R237" s="14" t="n"/>
      <c r="S237" s="14" t="n"/>
      <c r="T237" s="14" t="n"/>
      <c r="U237" s="14" t="n"/>
    </row>
    <row r="238">
      <c r="H238" s="14" t="n"/>
      <c r="I238" s="14" t="n"/>
      <c r="K238" s="14" t="n"/>
      <c r="L238" s="14" t="n"/>
      <c r="R238" s="14" t="n"/>
      <c r="S238" s="14" t="n"/>
      <c r="T238" s="14" t="n"/>
      <c r="U238" s="14" t="n"/>
    </row>
    <row r="239">
      <c r="H239" s="14" t="n"/>
      <c r="I239" s="14" t="n"/>
      <c r="K239" s="14" t="n"/>
      <c r="L239" s="14" t="n"/>
      <c r="R239" s="14" t="n"/>
      <c r="S239" s="14" t="n"/>
      <c r="T239" s="14" t="n"/>
      <c r="U239" s="14" t="n"/>
    </row>
    <row r="240">
      <c r="H240" s="14" t="n"/>
      <c r="I240" s="14" t="n"/>
      <c r="K240" s="14" t="n"/>
      <c r="L240" s="14" t="n"/>
      <c r="R240" s="14" t="n"/>
      <c r="S240" s="14" t="n"/>
      <c r="T240" s="14" t="n"/>
      <c r="U240" s="14" t="n"/>
    </row>
    <row r="241">
      <c r="H241" s="14" t="n"/>
      <c r="I241" s="14" t="n"/>
      <c r="K241" s="14" t="n"/>
      <c r="L241" s="14" t="n"/>
      <c r="R241" s="14" t="n"/>
      <c r="S241" s="14" t="n"/>
      <c r="T241" s="14" t="n"/>
      <c r="U241" s="14" t="n"/>
    </row>
    <row r="242">
      <c r="H242" s="14" t="n"/>
      <c r="I242" s="14" t="n"/>
      <c r="K242" s="14" t="n"/>
      <c r="L242" s="14" t="n"/>
      <c r="R242" s="14" t="n"/>
      <c r="S242" s="14" t="n"/>
      <c r="T242" s="14" t="n"/>
      <c r="U242" s="14" t="n"/>
    </row>
    <row r="243">
      <c r="H243" s="14" t="n"/>
      <c r="I243" s="14" t="n"/>
      <c r="K243" s="14" t="n"/>
      <c r="L243" s="14" t="n"/>
      <c r="R243" s="14" t="n"/>
      <c r="S243" s="14" t="n"/>
      <c r="T243" s="14" t="n"/>
      <c r="U243" s="14" t="n"/>
    </row>
    <row r="244">
      <c r="H244" s="14" t="n"/>
      <c r="I244" s="14" t="n"/>
      <c r="K244" s="14" t="n"/>
      <c r="L244" s="14" t="n"/>
      <c r="R244" s="14" t="n"/>
      <c r="S244" s="14" t="n"/>
      <c r="T244" s="14" t="n"/>
      <c r="U244" s="14" t="n"/>
    </row>
    <row r="245">
      <c r="H245" s="14" t="n"/>
      <c r="I245" s="14" t="n"/>
      <c r="K245" s="14" t="n"/>
      <c r="L245" s="14" t="n"/>
      <c r="R245" s="14" t="n"/>
      <c r="S245" s="14" t="n"/>
      <c r="T245" s="14" t="n"/>
      <c r="U245" s="14" t="n"/>
    </row>
    <row r="246">
      <c r="H246" s="14" t="n"/>
      <c r="I246" s="14" t="n"/>
      <c r="K246" s="14" t="n"/>
      <c r="L246" s="14" t="n"/>
      <c r="R246" s="14" t="n"/>
      <c r="S246" s="14" t="n"/>
      <c r="T246" s="14" t="n"/>
      <c r="U246" s="14" t="n"/>
    </row>
    <row r="247">
      <c r="H247" s="14" t="n"/>
      <c r="I247" s="14" t="n"/>
      <c r="K247" s="14" t="n"/>
      <c r="L247" s="14" t="n"/>
      <c r="R247" s="14" t="n"/>
      <c r="S247" s="14" t="n"/>
      <c r="T247" s="14" t="n"/>
      <c r="U247" s="14" t="n"/>
    </row>
    <row r="248">
      <c r="H248" s="14" t="n"/>
      <c r="I248" s="14" t="n"/>
      <c r="K248" s="14" t="n"/>
      <c r="L248" s="14" t="n"/>
      <c r="R248" s="14" t="n"/>
      <c r="S248" s="14" t="n"/>
      <c r="T248" s="14" t="n"/>
      <c r="U248" s="14" t="n"/>
    </row>
    <row r="249">
      <c r="H249" s="14" t="n"/>
      <c r="I249" s="14" t="n"/>
      <c r="K249" s="14" t="n"/>
      <c r="L249" s="14" t="n"/>
      <c r="R249" s="14" t="n"/>
      <c r="S249" s="14" t="n"/>
      <c r="T249" s="14" t="n"/>
      <c r="U249" s="14" t="n"/>
    </row>
    <row r="250">
      <c r="H250" s="14" t="n"/>
      <c r="I250" s="14" t="n"/>
      <c r="K250" s="14" t="n"/>
      <c r="L250" s="14" t="n"/>
      <c r="R250" s="14" t="n"/>
      <c r="S250" s="14" t="n"/>
      <c r="T250" s="14" t="n"/>
      <c r="U250" s="14" t="n"/>
    </row>
    <row r="251">
      <c r="H251" s="14" t="n"/>
      <c r="I251" s="14" t="n"/>
      <c r="K251" s="14" t="n"/>
      <c r="L251" s="14" t="n"/>
      <c r="R251" s="14" t="n"/>
      <c r="S251" s="14" t="n"/>
      <c r="T251" s="14" t="n"/>
      <c r="U251" s="14" t="n"/>
    </row>
    <row r="252">
      <c r="H252" s="14" t="n"/>
      <c r="I252" s="14" t="n"/>
      <c r="K252" s="14" t="n"/>
      <c r="L252" s="14" t="n"/>
      <c r="R252" s="14" t="n"/>
      <c r="S252" s="14" t="n"/>
      <c r="T252" s="14" t="n"/>
      <c r="U252" s="14" t="n"/>
    </row>
    <row r="253">
      <c r="H253" s="14" t="n"/>
      <c r="I253" s="14" t="n"/>
      <c r="K253" s="14" t="n"/>
      <c r="L253" s="14" t="n"/>
      <c r="R253" s="14" t="n"/>
      <c r="S253" s="14" t="n"/>
      <c r="T253" s="14" t="n"/>
      <c r="U253" s="14" t="n"/>
    </row>
    <row r="254">
      <c r="H254" s="14" t="n"/>
      <c r="I254" s="14" t="n"/>
      <c r="K254" s="14" t="n"/>
      <c r="L254" s="14" t="n"/>
      <c r="R254" s="14" t="n"/>
      <c r="S254" s="14" t="n"/>
      <c r="T254" s="14" t="n"/>
      <c r="U254" s="14" t="n"/>
    </row>
    <row r="255">
      <c r="H255" s="14" t="n"/>
      <c r="I255" s="14" t="n"/>
      <c r="K255" s="14" t="n"/>
      <c r="L255" s="14" t="n"/>
      <c r="R255" s="14" t="n"/>
      <c r="S255" s="14" t="n"/>
      <c r="T255" s="14" t="n"/>
      <c r="U255" s="14" t="n"/>
    </row>
    <row r="256">
      <c r="H256" s="14" t="n"/>
      <c r="I256" s="14" t="n"/>
      <c r="K256" s="14" t="n"/>
      <c r="L256" s="14" t="n"/>
      <c r="R256" s="14" t="n"/>
      <c r="S256" s="14" t="n"/>
      <c r="T256" s="14" t="n"/>
      <c r="U256" s="14" t="n"/>
    </row>
    <row r="257">
      <c r="H257" s="14" t="n"/>
      <c r="I257" s="14" t="n"/>
      <c r="K257" s="14" t="n"/>
      <c r="L257" s="14" t="n"/>
      <c r="R257" s="14" t="n"/>
      <c r="S257" s="14" t="n"/>
      <c r="T257" s="14" t="n"/>
      <c r="U257" s="14" t="n"/>
    </row>
    <row r="258">
      <c r="H258" s="14" t="n"/>
      <c r="I258" s="14" t="n"/>
      <c r="K258" s="14" t="n"/>
      <c r="L258" s="14" t="n"/>
      <c r="R258" s="14" t="n"/>
      <c r="S258" s="14" t="n"/>
      <c r="T258" s="14" t="n"/>
      <c r="U258" s="14" t="n"/>
    </row>
    <row r="259">
      <c r="H259" s="14" t="n"/>
      <c r="I259" s="14" t="n"/>
      <c r="K259" s="14" t="n"/>
      <c r="L259" s="14" t="n"/>
      <c r="R259" s="14" t="n"/>
      <c r="S259" s="14" t="n"/>
      <c r="T259" s="14" t="n"/>
      <c r="U259" s="14" t="n"/>
    </row>
    <row r="260">
      <c r="H260" s="14" t="n"/>
      <c r="I260" s="14" t="n"/>
      <c r="K260" s="14" t="n"/>
      <c r="L260" s="14" t="n"/>
      <c r="R260" s="14" t="n"/>
      <c r="S260" s="14" t="n"/>
      <c r="T260" s="14" t="n"/>
      <c r="U260" s="14" t="n"/>
    </row>
    <row r="261">
      <c r="H261" s="14" t="n"/>
      <c r="I261" s="14" t="n"/>
      <c r="K261" s="14" t="n"/>
      <c r="L261" s="14" t="n"/>
      <c r="R261" s="14" t="n"/>
      <c r="S261" s="14" t="n"/>
      <c r="T261" s="14" t="n"/>
      <c r="U261" s="14" t="n"/>
    </row>
    <row r="262">
      <c r="H262" s="14" t="n"/>
      <c r="I262" s="14" t="n"/>
      <c r="K262" s="14" t="n"/>
      <c r="L262" s="14" t="n"/>
      <c r="R262" s="14" t="n"/>
      <c r="S262" s="14" t="n"/>
      <c r="T262" s="14" t="n"/>
      <c r="U262" s="14" t="n"/>
    </row>
    <row r="263">
      <c r="H263" s="14" t="n"/>
      <c r="I263" s="14" t="n"/>
      <c r="K263" s="14" t="n"/>
      <c r="L263" s="14" t="n"/>
      <c r="R263" s="14" t="n"/>
      <c r="S263" s="14" t="n"/>
      <c r="T263" s="14" t="n"/>
      <c r="U263" s="14" t="n"/>
    </row>
    <row r="264">
      <c r="H264" s="14" t="n"/>
      <c r="I264" s="14" t="n"/>
      <c r="K264" s="14" t="n"/>
      <c r="L264" s="14" t="n"/>
      <c r="R264" s="14" t="n"/>
      <c r="S264" s="14" t="n"/>
      <c r="T264" s="14" t="n"/>
      <c r="U264" s="14" t="n"/>
    </row>
    <row r="265">
      <c r="H265" s="14" t="n"/>
      <c r="I265" s="14" t="n"/>
      <c r="K265" s="14" t="n"/>
      <c r="L265" s="14" t="n"/>
      <c r="R265" s="14" t="n"/>
      <c r="S265" s="14" t="n"/>
      <c r="T265" s="14" t="n"/>
      <c r="U265" s="14" t="n"/>
    </row>
    <row r="266">
      <c r="H266" s="14" t="n"/>
      <c r="I266" s="14" t="n"/>
      <c r="K266" s="14" t="n"/>
      <c r="L266" s="14" t="n"/>
      <c r="R266" s="14" t="n"/>
      <c r="S266" s="14" t="n"/>
      <c r="T266" s="14" t="n"/>
      <c r="U266" s="14" t="n"/>
    </row>
    <row r="267">
      <c r="H267" s="14" t="n"/>
      <c r="I267" s="14" t="n"/>
      <c r="K267" s="14" t="n"/>
      <c r="L267" s="14" t="n"/>
      <c r="R267" s="14" t="n"/>
      <c r="S267" s="14" t="n"/>
      <c r="T267" s="14" t="n"/>
      <c r="U267" s="14" t="n"/>
    </row>
    <row r="268">
      <c r="H268" s="14" t="n"/>
      <c r="I268" s="14" t="n"/>
      <c r="K268" s="14" t="n"/>
      <c r="L268" s="14" t="n"/>
      <c r="R268" s="14" t="n"/>
      <c r="S268" s="14" t="n"/>
      <c r="T268" s="14" t="n"/>
      <c r="U268" s="14" t="n"/>
    </row>
    <row r="269">
      <c r="H269" s="14" t="n"/>
      <c r="I269" s="14" t="n"/>
      <c r="K269" s="14" t="n"/>
      <c r="L269" s="14" t="n"/>
      <c r="R269" s="14" t="n"/>
      <c r="S269" s="14" t="n"/>
      <c r="T269" s="14" t="n"/>
      <c r="U269" s="14" t="n"/>
    </row>
    <row r="270">
      <c r="H270" s="14" t="n"/>
      <c r="I270" s="14" t="n"/>
      <c r="K270" s="14" t="n"/>
      <c r="L270" s="14" t="n"/>
      <c r="R270" s="14" t="n"/>
      <c r="S270" s="14" t="n"/>
      <c r="T270" s="14" t="n"/>
      <c r="U270" s="14" t="n"/>
    </row>
    <row r="271">
      <c r="H271" s="14" t="n"/>
      <c r="I271" s="14" t="n"/>
      <c r="K271" s="14" t="n"/>
      <c r="L271" s="14" t="n"/>
      <c r="R271" s="14" t="n"/>
      <c r="S271" s="14" t="n"/>
      <c r="T271" s="14" t="n"/>
      <c r="U271" s="14" t="n"/>
    </row>
    <row r="272">
      <c r="H272" s="14" t="n"/>
      <c r="I272" s="14" t="n"/>
      <c r="K272" s="14" t="n"/>
      <c r="L272" s="14" t="n"/>
      <c r="R272" s="14" t="n"/>
      <c r="S272" s="14" t="n"/>
      <c r="T272" s="14" t="n"/>
      <c r="U272" s="14" t="n"/>
    </row>
    <row r="273">
      <c r="H273" s="14" t="n"/>
      <c r="I273" s="14" t="n"/>
      <c r="K273" s="14" t="n"/>
      <c r="L273" s="14" t="n"/>
      <c r="R273" s="14" t="n"/>
      <c r="S273" s="14" t="n"/>
      <c r="T273" s="14" t="n"/>
      <c r="U273" s="14" t="n"/>
    </row>
    <row r="274">
      <c r="H274" s="14" t="n"/>
      <c r="I274" s="14" t="n"/>
      <c r="K274" s="14" t="n"/>
      <c r="L274" s="14" t="n"/>
      <c r="R274" s="14" t="n"/>
      <c r="S274" s="14" t="n"/>
      <c r="T274" s="14" t="n"/>
      <c r="U274" s="14" t="n"/>
    </row>
    <row r="275">
      <c r="H275" s="14" t="n"/>
      <c r="I275" s="14" t="n"/>
      <c r="K275" s="14" t="n"/>
      <c r="L275" s="14" t="n"/>
      <c r="R275" s="14" t="n"/>
      <c r="S275" s="14" t="n"/>
      <c r="T275" s="14" t="n"/>
      <c r="U275" s="14" t="n"/>
    </row>
    <row r="276">
      <c r="H276" s="14" t="n"/>
      <c r="I276" s="14" t="n"/>
      <c r="K276" s="14" t="n"/>
      <c r="L276" s="14" t="n"/>
      <c r="R276" s="14" t="n"/>
      <c r="S276" s="14" t="n"/>
      <c r="T276" s="14" t="n"/>
      <c r="U276" s="14" t="n"/>
    </row>
    <row r="277">
      <c r="H277" s="14" t="n"/>
      <c r="I277" s="14" t="n"/>
      <c r="K277" s="14" t="n"/>
      <c r="L277" s="14" t="n"/>
      <c r="R277" s="14" t="n"/>
      <c r="S277" s="14" t="n"/>
      <c r="T277" s="14" t="n"/>
      <c r="U277" s="14" t="n"/>
    </row>
    <row r="278">
      <c r="H278" s="14" t="n"/>
      <c r="I278" s="14" t="n"/>
      <c r="K278" s="14" t="n"/>
      <c r="L278" s="14" t="n"/>
      <c r="R278" s="14" t="n"/>
      <c r="S278" s="14" t="n"/>
      <c r="T278" s="14" t="n"/>
      <c r="U278" s="14" t="n"/>
    </row>
    <row r="279">
      <c r="H279" s="14" t="n"/>
      <c r="I279" s="14" t="n"/>
      <c r="K279" s="14" t="n"/>
      <c r="L279" s="14" t="n"/>
      <c r="R279" s="14" t="n"/>
      <c r="S279" s="14" t="n"/>
      <c r="T279" s="14" t="n"/>
      <c r="U279" s="14" t="n"/>
    </row>
    <row r="280">
      <c r="H280" s="14" t="n"/>
      <c r="I280" s="14" t="n"/>
      <c r="K280" s="14" t="n"/>
      <c r="L280" s="14" t="n"/>
      <c r="R280" s="14" t="n"/>
      <c r="S280" s="14" t="n"/>
      <c r="T280" s="14" t="n"/>
      <c r="U280" s="14" t="n"/>
    </row>
    <row r="281">
      <c r="H281" s="14" t="n"/>
      <c r="I281" s="14" t="n"/>
      <c r="K281" s="14" t="n"/>
      <c r="L281" s="14" t="n"/>
      <c r="R281" s="14" t="n"/>
      <c r="S281" s="14" t="n"/>
      <c r="T281" s="14" t="n"/>
      <c r="U281" s="14" t="n"/>
    </row>
    <row r="282">
      <c r="H282" s="14" t="n"/>
      <c r="I282" s="14" t="n"/>
      <c r="K282" s="14" t="n"/>
      <c r="L282" s="14" t="n"/>
      <c r="R282" s="14" t="n"/>
      <c r="S282" s="14" t="n"/>
      <c r="T282" s="14" t="n"/>
      <c r="U282" s="14" t="n"/>
    </row>
    <row r="283">
      <c r="H283" s="14" t="n"/>
      <c r="I283" s="14" t="n"/>
      <c r="K283" s="14" t="n"/>
      <c r="L283" s="14" t="n"/>
      <c r="R283" s="14" t="n"/>
      <c r="S283" s="14" t="n"/>
      <c r="T283" s="14" t="n"/>
      <c r="U283" s="14" t="n"/>
    </row>
    <row r="284">
      <c r="H284" s="14" t="n"/>
      <c r="I284" s="14" t="n"/>
      <c r="K284" s="14" t="n"/>
      <c r="L284" s="14" t="n"/>
      <c r="R284" s="14" t="n"/>
      <c r="S284" s="14" t="n"/>
      <c r="T284" s="14" t="n"/>
      <c r="U284" s="14" t="n"/>
    </row>
    <row r="285">
      <c r="H285" s="14" t="n"/>
      <c r="I285" s="14" t="n"/>
      <c r="K285" s="14" t="n"/>
      <c r="L285" s="14" t="n"/>
      <c r="R285" s="14" t="n"/>
      <c r="S285" s="14" t="n"/>
      <c r="T285" s="14" t="n"/>
      <c r="U285" s="14" t="n"/>
    </row>
    <row r="286">
      <c r="H286" s="14" t="n"/>
      <c r="I286" s="14" t="n"/>
      <c r="K286" s="14" t="n"/>
      <c r="L286" s="14" t="n"/>
      <c r="R286" s="14" t="n"/>
      <c r="S286" s="14" t="n"/>
      <c r="T286" s="14" t="n"/>
      <c r="U286" s="14" t="n"/>
    </row>
    <row r="287">
      <c r="H287" s="14" t="n"/>
      <c r="I287" s="14" t="n"/>
      <c r="K287" s="14" t="n"/>
      <c r="L287" s="14" t="n"/>
      <c r="R287" s="14" t="n"/>
      <c r="S287" s="14" t="n"/>
      <c r="T287" s="14" t="n"/>
      <c r="U287" s="14" t="n"/>
    </row>
    <row r="288">
      <c r="H288" s="14" t="n"/>
      <c r="I288" s="14" t="n"/>
      <c r="K288" s="14" t="n"/>
      <c r="L288" s="14" t="n"/>
      <c r="R288" s="14" t="n"/>
      <c r="S288" s="14" t="n"/>
      <c r="T288" s="14" t="n"/>
      <c r="U288" s="14" t="n"/>
    </row>
    <row r="289">
      <c r="H289" s="14" t="n"/>
      <c r="I289" s="14" t="n"/>
      <c r="K289" s="14" t="n"/>
      <c r="L289" s="14" t="n"/>
      <c r="R289" s="14" t="n"/>
      <c r="S289" s="14" t="n"/>
      <c r="T289" s="14" t="n"/>
      <c r="U289" s="14" t="n"/>
    </row>
    <row r="290">
      <c r="H290" s="14" t="n"/>
      <c r="I290" s="14" t="n"/>
      <c r="K290" s="14" t="n"/>
      <c r="L290" s="14" t="n"/>
      <c r="R290" s="14" t="n"/>
      <c r="S290" s="14" t="n"/>
      <c r="T290" s="14" t="n"/>
      <c r="U290" s="14" t="n"/>
    </row>
    <row r="291">
      <c r="H291" s="14" t="n"/>
      <c r="I291" s="14" t="n"/>
      <c r="K291" s="14" t="n"/>
      <c r="L291" s="14" t="n"/>
      <c r="R291" s="14" t="n"/>
      <c r="S291" s="14" t="n"/>
      <c r="T291" s="14" t="n"/>
      <c r="U291" s="14" t="n"/>
    </row>
    <row r="292">
      <c r="H292" s="14" t="n"/>
      <c r="I292" s="14" t="n"/>
      <c r="K292" s="14" t="n"/>
      <c r="L292" s="14" t="n"/>
      <c r="R292" s="14" t="n"/>
      <c r="S292" s="14" t="n"/>
      <c r="T292" s="14" t="n"/>
      <c r="U292" s="14" t="n"/>
    </row>
    <row r="293">
      <c r="H293" s="14" t="n"/>
      <c r="I293" s="14" t="n"/>
      <c r="K293" s="14" t="n"/>
      <c r="L293" s="14" t="n"/>
      <c r="R293" s="14" t="n"/>
      <c r="S293" s="14" t="n"/>
      <c r="T293" s="14" t="n"/>
      <c r="U293" s="14" t="n"/>
    </row>
    <row r="294">
      <c r="H294" s="14" t="n"/>
      <c r="I294" s="14" t="n"/>
      <c r="K294" s="14" t="n"/>
      <c r="L294" s="14" t="n"/>
      <c r="R294" s="14" t="n"/>
      <c r="S294" s="14" t="n"/>
      <c r="T294" s="14" t="n"/>
      <c r="U294" s="14" t="n"/>
    </row>
    <row r="295">
      <c r="H295" s="14" t="n"/>
      <c r="I295" s="14" t="n"/>
      <c r="K295" s="14" t="n"/>
      <c r="L295" s="14" t="n"/>
      <c r="R295" s="14" t="n"/>
      <c r="S295" s="14" t="n"/>
      <c r="T295" s="14" t="n"/>
      <c r="U295" s="14" t="n"/>
    </row>
    <row r="296">
      <c r="H296" s="14" t="n"/>
      <c r="I296" s="14" t="n"/>
      <c r="K296" s="14" t="n"/>
      <c r="L296" s="14" t="n"/>
      <c r="R296" s="14" t="n"/>
      <c r="S296" s="14" t="n"/>
      <c r="T296" s="14" t="n"/>
      <c r="U296" s="14" t="n"/>
    </row>
    <row r="297">
      <c r="H297" s="14" t="n"/>
      <c r="I297" s="14" t="n"/>
      <c r="K297" s="14" t="n"/>
      <c r="L297" s="14" t="n"/>
      <c r="R297" s="14" t="n"/>
      <c r="S297" s="14" t="n"/>
      <c r="T297" s="14" t="n"/>
      <c r="U297" s="14" t="n"/>
    </row>
    <row r="298">
      <c r="H298" s="14" t="n"/>
      <c r="I298" s="14" t="n"/>
      <c r="K298" s="14" t="n"/>
      <c r="L298" s="14" t="n"/>
      <c r="R298" s="14" t="n"/>
      <c r="S298" s="14" t="n"/>
      <c r="T298" s="14" t="n"/>
      <c r="U298" s="14" t="n"/>
    </row>
    <row r="299">
      <c r="H299" s="14" t="n"/>
      <c r="I299" s="14" t="n"/>
      <c r="K299" s="14" t="n"/>
      <c r="L299" s="14" t="n"/>
      <c r="R299" s="14" t="n"/>
      <c r="S299" s="14" t="n"/>
      <c r="T299" s="14" t="n"/>
      <c r="U299" s="14" t="n"/>
    </row>
    <row r="300">
      <c r="H300" s="14" t="n"/>
      <c r="I300" s="14" t="n"/>
      <c r="K300" s="14" t="n"/>
      <c r="L300" s="14" t="n"/>
      <c r="R300" s="14" t="n"/>
      <c r="S300" s="14" t="n"/>
      <c r="T300" s="14" t="n"/>
      <c r="U300" s="14" t="n"/>
    </row>
    <row r="301">
      <c r="H301" s="14" t="n"/>
      <c r="I301" s="14" t="n"/>
      <c r="K301" s="14" t="n"/>
      <c r="L301" s="14" t="n"/>
      <c r="R301" s="14" t="n"/>
      <c r="S301" s="14" t="n"/>
      <c r="T301" s="14" t="n"/>
      <c r="U301" s="14" t="n"/>
    </row>
    <row r="302">
      <c r="H302" s="14" t="n"/>
      <c r="I302" s="14" t="n"/>
      <c r="K302" s="14" t="n"/>
      <c r="L302" s="14" t="n"/>
      <c r="R302" s="14" t="n"/>
      <c r="S302" s="14" t="n"/>
      <c r="T302" s="14" t="n"/>
      <c r="U302" s="14" t="n"/>
    </row>
    <row r="303">
      <c r="H303" s="14" t="n"/>
      <c r="I303" s="14" t="n"/>
      <c r="K303" s="14" t="n"/>
      <c r="L303" s="14" t="n"/>
      <c r="R303" s="14" t="n"/>
      <c r="S303" s="14" t="n"/>
      <c r="T303" s="14" t="n"/>
      <c r="U303" s="14" t="n"/>
    </row>
    <row r="304">
      <c r="H304" s="14" t="n"/>
      <c r="I304" s="14" t="n"/>
      <c r="K304" s="14" t="n"/>
      <c r="L304" s="14" t="n"/>
      <c r="R304" s="14" t="n"/>
      <c r="S304" s="14" t="n"/>
      <c r="T304" s="14" t="n"/>
      <c r="U304" s="14" t="n"/>
    </row>
    <row r="305">
      <c r="H305" s="14" t="n"/>
      <c r="I305" s="14" t="n"/>
      <c r="K305" s="14" t="n"/>
      <c r="L305" s="14" t="n"/>
      <c r="R305" s="14" t="n"/>
      <c r="S305" s="14" t="n"/>
      <c r="T305" s="14" t="n"/>
      <c r="U305" s="14" t="n"/>
    </row>
    <row r="306">
      <c r="H306" s="14" t="n"/>
      <c r="I306" s="14" t="n"/>
      <c r="K306" s="14" t="n"/>
      <c r="L306" s="14" t="n"/>
      <c r="R306" s="14" t="n"/>
      <c r="S306" s="14" t="n"/>
      <c r="T306" s="14" t="n"/>
      <c r="U306" s="14" t="n"/>
    </row>
    <row r="307">
      <c r="H307" s="14" t="n"/>
      <c r="I307" s="14" t="n"/>
      <c r="K307" s="14" t="n"/>
      <c r="L307" s="14" t="n"/>
      <c r="R307" s="14" t="n"/>
      <c r="S307" s="14" t="n"/>
      <c r="T307" s="14" t="n"/>
      <c r="U307" s="14" t="n"/>
    </row>
    <row r="308">
      <c r="H308" s="14" t="n"/>
      <c r="I308" s="14" t="n"/>
      <c r="K308" s="14" t="n"/>
      <c r="L308" s="14" t="n"/>
      <c r="R308" s="14" t="n"/>
      <c r="S308" s="14" t="n"/>
      <c r="T308" s="14" t="n"/>
      <c r="U308" s="14" t="n"/>
    </row>
    <row r="309">
      <c r="H309" s="14" t="n"/>
      <c r="I309" s="14" t="n"/>
      <c r="K309" s="14" t="n"/>
      <c r="L309" s="14" t="n"/>
      <c r="R309" s="14" t="n"/>
      <c r="S309" s="14" t="n"/>
      <c r="T309" s="14" t="n"/>
      <c r="U309" s="14" t="n"/>
    </row>
    <row r="310">
      <c r="H310" s="14" t="n"/>
      <c r="I310" s="14" t="n"/>
      <c r="K310" s="14" t="n"/>
      <c r="L310" s="14" t="n"/>
      <c r="R310" s="14" t="n"/>
      <c r="S310" s="14" t="n"/>
      <c r="T310" s="14" t="n"/>
      <c r="U310" s="14" t="n"/>
    </row>
    <row r="311">
      <c r="H311" s="14" t="n"/>
      <c r="I311" s="14" t="n"/>
      <c r="K311" s="14" t="n"/>
      <c r="L311" s="14" t="n"/>
      <c r="R311" s="14" t="n"/>
      <c r="S311" s="14" t="n"/>
      <c r="T311" s="14" t="n"/>
      <c r="U311" s="14" t="n"/>
    </row>
    <row r="312">
      <c r="H312" s="14" t="n"/>
      <c r="I312" s="14" t="n"/>
      <c r="K312" s="14" t="n"/>
      <c r="L312" s="14" t="n"/>
      <c r="R312" s="14" t="n"/>
      <c r="S312" s="14" t="n"/>
      <c r="T312" s="14" t="n"/>
      <c r="U312" s="14" t="n"/>
    </row>
    <row r="313">
      <c r="H313" s="14" t="n"/>
      <c r="I313" s="14" t="n"/>
      <c r="K313" s="14" t="n"/>
      <c r="L313" s="14" t="n"/>
      <c r="R313" s="14" t="n"/>
      <c r="S313" s="14" t="n"/>
      <c r="T313" s="14" t="n"/>
      <c r="U313" s="14" t="n"/>
    </row>
    <row r="314">
      <c r="H314" s="14" t="n"/>
      <c r="I314" s="14" t="n"/>
      <c r="K314" s="14" t="n"/>
      <c r="L314" s="14" t="n"/>
      <c r="R314" s="14" t="n"/>
      <c r="S314" s="14" t="n"/>
      <c r="T314" s="14" t="n"/>
      <c r="U314" s="14" t="n"/>
    </row>
    <row r="315">
      <c r="H315" s="14" t="n"/>
      <c r="I315" s="14" t="n"/>
      <c r="K315" s="14" t="n"/>
      <c r="L315" s="14" t="n"/>
      <c r="R315" s="14" t="n"/>
      <c r="S315" s="14" t="n"/>
      <c r="T315" s="14" t="n"/>
      <c r="U315" s="14" t="n"/>
    </row>
    <row r="316">
      <c r="H316" s="14" t="n"/>
      <c r="I316" s="14" t="n"/>
      <c r="K316" s="14" t="n"/>
      <c r="L316" s="14" t="n"/>
      <c r="R316" s="14" t="n"/>
      <c r="S316" s="14" t="n"/>
      <c r="T316" s="14" t="n"/>
      <c r="U316" s="14" t="n"/>
    </row>
    <row r="317">
      <c r="H317" s="14" t="n"/>
      <c r="I317" s="14" t="n"/>
      <c r="K317" s="14" t="n"/>
      <c r="L317" s="14" t="n"/>
      <c r="R317" s="14" t="n"/>
      <c r="S317" s="14" t="n"/>
      <c r="T317" s="14" t="n"/>
      <c r="U317" s="14" t="n"/>
    </row>
    <row r="318">
      <c r="H318" s="14" t="n"/>
      <c r="I318" s="14" t="n"/>
      <c r="K318" s="14" t="n"/>
      <c r="L318" s="14" t="n"/>
      <c r="R318" s="14" t="n"/>
      <c r="S318" s="14" t="n"/>
      <c r="T318" s="14" t="n"/>
      <c r="U318" s="14" t="n"/>
    </row>
    <row r="319">
      <c r="H319" s="14" t="n"/>
      <c r="I319" s="14" t="n"/>
      <c r="K319" s="14" t="n"/>
      <c r="L319" s="14" t="n"/>
      <c r="R319" s="14" t="n"/>
      <c r="S319" s="14" t="n"/>
      <c r="T319" s="14" t="n"/>
      <c r="U319" s="14" t="n"/>
    </row>
    <row r="320">
      <c r="H320" s="14" t="n"/>
      <c r="I320" s="14" t="n"/>
      <c r="K320" s="14" t="n"/>
      <c r="L320" s="14" t="n"/>
      <c r="R320" s="14" t="n"/>
      <c r="S320" s="14" t="n"/>
      <c r="T320" s="14" t="n"/>
      <c r="U320" s="14" t="n"/>
    </row>
    <row r="321">
      <c r="H321" s="14" t="n"/>
      <c r="I321" s="14" t="n"/>
      <c r="K321" s="14" t="n"/>
      <c r="L321" s="14" t="n"/>
      <c r="R321" s="14" t="n"/>
      <c r="S321" s="14" t="n"/>
      <c r="T321" s="14" t="n"/>
      <c r="U321" s="14" t="n"/>
    </row>
    <row r="322">
      <c r="H322" s="14" t="n"/>
      <c r="I322" s="14" t="n"/>
      <c r="K322" s="14" t="n"/>
      <c r="L322" s="14" t="n"/>
      <c r="R322" s="14" t="n"/>
      <c r="S322" s="14" t="n"/>
      <c r="T322" s="14" t="n"/>
      <c r="U322" s="14" t="n"/>
    </row>
    <row r="323">
      <c r="H323" s="14" t="n"/>
      <c r="I323" s="14" t="n"/>
      <c r="K323" s="14" t="n"/>
      <c r="L323" s="14" t="n"/>
      <c r="R323" s="14" t="n"/>
      <c r="S323" s="14" t="n"/>
      <c r="T323" s="14" t="n"/>
      <c r="U323" s="14" t="n"/>
    </row>
    <row r="324">
      <c r="H324" s="14" t="n"/>
      <c r="I324" s="14" t="n"/>
      <c r="K324" s="14" t="n"/>
      <c r="L324" s="14" t="n"/>
      <c r="R324" s="14" t="n"/>
      <c r="S324" s="14" t="n"/>
      <c r="T324" s="14" t="n"/>
      <c r="U324" s="14" t="n"/>
    </row>
    <row r="325">
      <c r="H325" s="14" t="n"/>
      <c r="I325" s="14" t="n"/>
      <c r="K325" s="14" t="n"/>
      <c r="L325" s="14" t="n"/>
      <c r="R325" s="14" t="n"/>
      <c r="S325" s="14" t="n"/>
      <c r="T325" s="14" t="n"/>
      <c r="U325" s="14" t="n"/>
    </row>
    <row r="326">
      <c r="H326" s="14" t="n"/>
      <c r="I326" s="14" t="n"/>
      <c r="K326" s="14" t="n"/>
      <c r="L326" s="14" t="n"/>
      <c r="R326" s="14" t="n"/>
      <c r="S326" s="14" t="n"/>
      <c r="T326" s="14" t="n"/>
      <c r="U326" s="14" t="n"/>
    </row>
    <row r="327">
      <c r="H327" s="14" t="n"/>
      <c r="I327" s="14" t="n"/>
      <c r="K327" s="14" t="n"/>
      <c r="L327" s="14" t="n"/>
      <c r="R327" s="14" t="n"/>
      <c r="S327" s="14" t="n"/>
      <c r="T327" s="14" t="n"/>
      <c r="U327" s="14" t="n"/>
    </row>
    <row r="328">
      <c r="H328" s="14" t="n"/>
      <c r="I328" s="14" t="n"/>
      <c r="K328" s="14" t="n"/>
      <c r="L328" s="14" t="n"/>
      <c r="R328" s="14" t="n"/>
      <c r="S328" s="14" t="n"/>
      <c r="T328" s="14" t="n"/>
      <c r="U328" s="14" t="n"/>
    </row>
    <row r="329">
      <c r="H329" s="14" t="n"/>
      <c r="I329" s="14" t="n"/>
      <c r="K329" s="14" t="n"/>
      <c r="L329" s="14" t="n"/>
      <c r="R329" s="14" t="n"/>
      <c r="S329" s="14" t="n"/>
      <c r="T329" s="14" t="n"/>
      <c r="U329" s="14" t="n"/>
    </row>
    <row r="330">
      <c r="H330" s="14" t="n"/>
      <c r="I330" s="14" t="n"/>
      <c r="K330" s="14" t="n"/>
      <c r="L330" s="14" t="n"/>
      <c r="R330" s="14" t="n"/>
      <c r="S330" s="14" t="n"/>
      <c r="T330" s="14" t="n"/>
      <c r="U330" s="14" t="n"/>
    </row>
    <row r="331">
      <c r="H331" s="14" t="n"/>
      <c r="I331" s="14" t="n"/>
      <c r="K331" s="14" t="n"/>
      <c r="L331" s="14" t="n"/>
      <c r="R331" s="14" t="n"/>
      <c r="S331" s="14" t="n"/>
      <c r="T331" s="14" t="n"/>
      <c r="U331" s="14" t="n"/>
    </row>
    <row r="332">
      <c r="H332" s="14" t="n"/>
      <c r="I332" s="14" t="n"/>
      <c r="K332" s="14" t="n"/>
      <c r="L332" s="14" t="n"/>
      <c r="R332" s="14" t="n"/>
      <c r="S332" s="14" t="n"/>
      <c r="T332" s="14" t="n"/>
      <c r="U332" s="14" t="n"/>
    </row>
    <row r="333">
      <c r="H333" s="14" t="n"/>
      <c r="I333" s="14" t="n"/>
      <c r="K333" s="14" t="n"/>
      <c r="L333" s="14" t="n"/>
      <c r="R333" s="14" t="n"/>
      <c r="S333" s="14" t="n"/>
      <c r="T333" s="14" t="n"/>
      <c r="U333" s="14" t="n"/>
    </row>
    <row r="334">
      <c r="H334" s="14" t="n"/>
      <c r="I334" s="14" t="n"/>
      <c r="K334" s="14" t="n"/>
      <c r="L334" s="14" t="n"/>
      <c r="R334" s="14" t="n"/>
      <c r="S334" s="14" t="n"/>
      <c r="T334" s="14" t="n"/>
      <c r="U334" s="14" t="n"/>
    </row>
    <row r="335">
      <c r="H335" s="14" t="n"/>
      <c r="I335" s="14" t="n"/>
      <c r="K335" s="14" t="n"/>
      <c r="L335" s="14" t="n"/>
      <c r="R335" s="14" t="n"/>
      <c r="S335" s="14" t="n"/>
      <c r="T335" s="14" t="n"/>
      <c r="U335" s="14" t="n"/>
    </row>
    <row r="336">
      <c r="H336" s="14" t="n"/>
      <c r="I336" s="14" t="n"/>
      <c r="K336" s="14" t="n"/>
      <c r="L336" s="14" t="n"/>
      <c r="R336" s="14" t="n"/>
      <c r="S336" s="14" t="n"/>
      <c r="T336" s="14" t="n"/>
      <c r="U336" s="14" t="n"/>
    </row>
    <row r="337">
      <c r="H337" s="14" t="n"/>
      <c r="I337" s="14" t="n"/>
      <c r="K337" s="14" t="n"/>
      <c r="L337" s="14" t="n"/>
      <c r="R337" s="14" t="n"/>
      <c r="S337" s="14" t="n"/>
      <c r="T337" s="14" t="n"/>
      <c r="U337" s="14" t="n"/>
    </row>
    <row r="338">
      <c r="H338" s="14" t="n"/>
      <c r="I338" s="14" t="n"/>
      <c r="K338" s="14" t="n"/>
      <c r="L338" s="14" t="n"/>
      <c r="R338" s="14" t="n"/>
      <c r="S338" s="14" t="n"/>
      <c r="T338" s="14" t="n"/>
      <c r="U338" s="14" t="n"/>
    </row>
    <row r="339">
      <c r="H339" s="14" t="n"/>
      <c r="I339" s="14" t="n"/>
      <c r="K339" s="14" t="n"/>
      <c r="L339" s="14" t="n"/>
      <c r="R339" s="14" t="n"/>
      <c r="S339" s="14" t="n"/>
      <c r="T339" s="14" t="n"/>
      <c r="U339" s="14" t="n"/>
    </row>
    <row r="340">
      <c r="H340" s="14" t="n"/>
      <c r="I340" s="14" t="n"/>
      <c r="K340" s="14" t="n"/>
      <c r="L340" s="14" t="n"/>
      <c r="R340" s="14" t="n"/>
      <c r="S340" s="14" t="n"/>
      <c r="T340" s="14" t="n"/>
      <c r="U340" s="14" t="n"/>
    </row>
    <row r="341">
      <c r="H341" s="14" t="n"/>
      <c r="I341" s="14" t="n"/>
      <c r="K341" s="14" t="n"/>
      <c r="L341" s="14" t="n"/>
      <c r="R341" s="14" t="n"/>
      <c r="S341" s="14" t="n"/>
      <c r="T341" s="14" t="n"/>
      <c r="U341" s="14" t="n"/>
    </row>
    <row r="342">
      <c r="H342" s="14" t="n"/>
      <c r="I342" s="14" t="n"/>
      <c r="K342" s="14" t="n"/>
      <c r="L342" s="14" t="n"/>
      <c r="R342" s="14" t="n"/>
      <c r="S342" s="14" t="n"/>
      <c r="T342" s="14" t="n"/>
      <c r="U342" s="14" t="n"/>
    </row>
    <row r="343">
      <c r="H343" s="14" t="n"/>
      <c r="I343" s="14" t="n"/>
      <c r="K343" s="14" t="n"/>
      <c r="L343" s="14" t="n"/>
      <c r="R343" s="14" t="n"/>
      <c r="S343" s="14" t="n"/>
      <c r="T343" s="14" t="n"/>
      <c r="U343" s="14" t="n"/>
    </row>
    <row r="344">
      <c r="H344" s="14" t="n"/>
      <c r="I344" s="14" t="n"/>
      <c r="K344" s="14" t="n"/>
      <c r="L344" s="14" t="n"/>
      <c r="R344" s="14" t="n"/>
      <c r="S344" s="14" t="n"/>
      <c r="T344" s="14" t="n"/>
      <c r="U344" s="14" t="n"/>
    </row>
    <row r="345">
      <c r="H345" s="14" t="n"/>
      <c r="I345" s="14" t="n"/>
      <c r="K345" s="14" t="n"/>
      <c r="L345" s="14" t="n"/>
      <c r="R345" s="14" t="n"/>
      <c r="S345" s="14" t="n"/>
      <c r="T345" s="14" t="n"/>
      <c r="U345" s="14" t="n"/>
    </row>
    <row r="346">
      <c r="H346" s="14" t="n"/>
      <c r="I346" s="14" t="n"/>
      <c r="K346" s="14" t="n"/>
      <c r="L346" s="14" t="n"/>
      <c r="R346" s="14" t="n"/>
      <c r="S346" s="14" t="n"/>
      <c r="T346" s="14" t="n"/>
      <c r="U346" s="14" t="n"/>
    </row>
    <row r="347">
      <c r="H347" s="14" t="n"/>
      <c r="I347" s="14" t="n"/>
      <c r="K347" s="14" t="n"/>
      <c r="L347" s="14" t="n"/>
      <c r="R347" s="14" t="n"/>
      <c r="S347" s="14" t="n"/>
      <c r="T347" s="14" t="n"/>
      <c r="U347" s="14" t="n"/>
    </row>
    <row r="348">
      <c r="H348" s="14" t="n"/>
      <c r="I348" s="14" t="n"/>
      <c r="K348" s="14" t="n"/>
      <c r="L348" s="14" t="n"/>
      <c r="R348" s="14" t="n"/>
      <c r="S348" s="14" t="n"/>
      <c r="T348" s="14" t="n"/>
      <c r="U348" s="14" t="n"/>
    </row>
    <row r="349">
      <c r="H349" s="14" t="n"/>
      <c r="I349" s="14" t="n"/>
      <c r="K349" s="14" t="n"/>
      <c r="L349" s="14" t="n"/>
      <c r="R349" s="14" t="n"/>
      <c r="S349" s="14" t="n"/>
      <c r="T349" s="14" t="n"/>
      <c r="U349" s="14" t="n"/>
    </row>
    <row r="350">
      <c r="H350" s="14" t="n"/>
      <c r="I350" s="14" t="n"/>
      <c r="K350" s="14" t="n"/>
      <c r="L350" s="14" t="n"/>
      <c r="R350" s="14" t="n"/>
      <c r="S350" s="14" t="n"/>
      <c r="T350" s="14" t="n"/>
      <c r="U350" s="14" t="n"/>
    </row>
    <row r="351">
      <c r="H351" s="14" t="n"/>
      <c r="I351" s="14" t="n"/>
      <c r="K351" s="14" t="n"/>
      <c r="L351" s="14" t="n"/>
      <c r="R351" s="14" t="n"/>
      <c r="S351" s="14" t="n"/>
      <c r="T351" s="14" t="n"/>
      <c r="U351" s="14" t="n"/>
    </row>
    <row r="352">
      <c r="H352" s="14" t="n"/>
      <c r="I352" s="14" t="n"/>
      <c r="K352" s="14" t="n"/>
      <c r="L352" s="14" t="n"/>
      <c r="R352" s="14" t="n"/>
      <c r="S352" s="14" t="n"/>
      <c r="T352" s="14" t="n"/>
      <c r="U352" s="14" t="n"/>
    </row>
    <row r="353">
      <c r="H353" s="14" t="n"/>
      <c r="I353" s="14" t="n"/>
      <c r="K353" s="14" t="n"/>
      <c r="L353" s="14" t="n"/>
      <c r="R353" s="14" t="n"/>
      <c r="S353" s="14" t="n"/>
      <c r="T353" s="14" t="n"/>
      <c r="U353" s="14" t="n"/>
    </row>
    <row r="354">
      <c r="H354" s="14" t="n"/>
      <c r="I354" s="14" t="n"/>
      <c r="K354" s="14" t="n"/>
      <c r="L354" s="14" t="n"/>
      <c r="R354" s="14" t="n"/>
      <c r="S354" s="14" t="n"/>
      <c r="T354" s="14" t="n"/>
      <c r="U354" s="14" t="n"/>
    </row>
    <row r="355">
      <c r="H355" s="14" t="n"/>
      <c r="I355" s="14" t="n"/>
      <c r="K355" s="14" t="n"/>
      <c r="L355" s="14" t="n"/>
      <c r="R355" s="14" t="n"/>
      <c r="S355" s="14" t="n"/>
      <c r="T355" s="14" t="n"/>
      <c r="U355" s="14" t="n"/>
    </row>
    <row r="356">
      <c r="H356" s="14" t="n"/>
      <c r="I356" s="14" t="n"/>
      <c r="K356" s="14" t="n"/>
      <c r="L356" s="14" t="n"/>
      <c r="R356" s="14" t="n"/>
      <c r="S356" s="14" t="n"/>
      <c r="T356" s="14" t="n"/>
      <c r="U356" s="14" t="n"/>
    </row>
    <row r="357">
      <c r="H357" s="14" t="n"/>
      <c r="I357" s="14" t="n"/>
      <c r="K357" s="14" t="n"/>
      <c r="L357" s="14" t="n"/>
      <c r="R357" s="14" t="n"/>
      <c r="S357" s="14" t="n"/>
      <c r="T357" s="14" t="n"/>
      <c r="U357" s="14" t="n"/>
    </row>
    <row r="358">
      <c r="H358" s="14" t="n"/>
      <c r="I358" s="14" t="n"/>
      <c r="K358" s="14" t="n"/>
      <c r="L358" s="14" t="n"/>
      <c r="R358" s="14" t="n"/>
      <c r="S358" s="14" t="n"/>
      <c r="T358" s="14" t="n"/>
      <c r="U358" s="14" t="n"/>
    </row>
    <row r="359">
      <c r="H359" s="14" t="n"/>
      <c r="I359" s="14" t="n"/>
      <c r="K359" s="14" t="n"/>
      <c r="L359" s="14" t="n"/>
      <c r="R359" s="14" t="n"/>
      <c r="S359" s="14" t="n"/>
      <c r="T359" s="14" t="n"/>
      <c r="U359" s="14" t="n"/>
    </row>
    <row r="360">
      <c r="H360" s="14" t="n"/>
      <c r="I360" s="14" t="n"/>
      <c r="K360" s="14" t="n"/>
      <c r="L360" s="14" t="n"/>
      <c r="R360" s="14" t="n"/>
      <c r="S360" s="14" t="n"/>
      <c r="T360" s="14" t="n"/>
      <c r="U360" s="14" t="n"/>
    </row>
    <row r="361">
      <c r="H361" s="14" t="n"/>
      <c r="I361" s="14" t="n"/>
      <c r="K361" s="14" t="n"/>
      <c r="L361" s="14" t="n"/>
      <c r="R361" s="14" t="n"/>
      <c r="S361" s="14" t="n"/>
      <c r="T361" s="14" t="n"/>
      <c r="U361" s="14" t="n"/>
    </row>
    <row r="362">
      <c r="H362" s="14" t="n"/>
      <c r="I362" s="14" t="n"/>
      <c r="K362" s="14" t="n"/>
      <c r="L362" s="14" t="n"/>
      <c r="R362" s="14" t="n"/>
      <c r="S362" s="14" t="n"/>
      <c r="T362" s="14" t="n"/>
      <c r="U362" s="14" t="n"/>
    </row>
    <row r="363">
      <c r="H363" s="14" t="n"/>
      <c r="I363" s="14" t="n"/>
      <c r="K363" s="14" t="n"/>
      <c r="L363" s="14" t="n"/>
      <c r="R363" s="14" t="n"/>
      <c r="S363" s="14" t="n"/>
      <c r="T363" s="14" t="n"/>
      <c r="U363" s="14" t="n"/>
    </row>
    <row r="364">
      <c r="H364" s="14" t="n"/>
      <c r="I364" s="14" t="n"/>
      <c r="K364" s="14" t="n"/>
      <c r="L364" s="14" t="n"/>
      <c r="R364" s="14" t="n"/>
      <c r="S364" s="14" t="n"/>
      <c r="T364" s="14" t="n"/>
      <c r="U364" s="14" t="n"/>
    </row>
    <row r="365">
      <c r="H365" s="14" t="n"/>
      <c r="I365" s="14" t="n"/>
      <c r="K365" s="14" t="n"/>
      <c r="L365" s="14" t="n"/>
      <c r="R365" s="14" t="n"/>
      <c r="S365" s="14" t="n"/>
      <c r="T365" s="14" t="n"/>
      <c r="U365" s="14" t="n"/>
    </row>
    <row r="366">
      <c r="H366" s="14" t="n"/>
      <c r="I366" s="14" t="n"/>
      <c r="K366" s="14" t="n"/>
      <c r="L366" s="14" t="n"/>
      <c r="R366" s="14" t="n"/>
      <c r="S366" s="14" t="n"/>
      <c r="T366" s="14" t="n"/>
      <c r="U366" s="14" t="n"/>
    </row>
    <row r="367">
      <c r="H367" s="14" t="n"/>
      <c r="I367" s="14" t="n"/>
      <c r="K367" s="14" t="n"/>
      <c r="L367" s="14" t="n"/>
      <c r="R367" s="14" t="n"/>
      <c r="S367" s="14" t="n"/>
      <c r="T367" s="14" t="n"/>
      <c r="U367" s="14" t="n"/>
    </row>
    <row r="368">
      <c r="H368" s="14" t="n"/>
      <c r="I368" s="14" t="n"/>
      <c r="K368" s="14" t="n"/>
      <c r="L368" s="14" t="n"/>
      <c r="R368" s="14" t="n"/>
      <c r="S368" s="14" t="n"/>
      <c r="T368" s="14" t="n"/>
      <c r="U368" s="14" t="n"/>
    </row>
    <row r="369">
      <c r="H369" s="14" t="n"/>
      <c r="I369" s="14" t="n"/>
      <c r="K369" s="14" t="n"/>
      <c r="L369" s="14" t="n"/>
      <c r="R369" s="14" t="n"/>
      <c r="S369" s="14" t="n"/>
      <c r="T369" s="14" t="n"/>
      <c r="U369" s="14" t="n"/>
    </row>
    <row r="370">
      <c r="H370" s="14" t="n"/>
      <c r="I370" s="14" t="n"/>
      <c r="K370" s="14" t="n"/>
      <c r="L370" s="14" t="n"/>
      <c r="R370" s="14" t="n"/>
      <c r="S370" s="14" t="n"/>
      <c r="T370" s="14" t="n"/>
      <c r="U370" s="14" t="n"/>
    </row>
    <row r="371">
      <c r="H371" s="14" t="n"/>
      <c r="I371" s="14" t="n"/>
      <c r="K371" s="14" t="n"/>
      <c r="L371" s="14" t="n"/>
      <c r="R371" s="14" t="n"/>
      <c r="S371" s="14" t="n"/>
      <c r="T371" s="14" t="n"/>
      <c r="U371" s="14" t="n"/>
    </row>
    <row r="372">
      <c r="H372" s="14" t="n"/>
      <c r="I372" s="14" t="n"/>
      <c r="K372" s="14" t="n"/>
      <c r="L372" s="14" t="n"/>
      <c r="R372" s="14" t="n"/>
      <c r="S372" s="14" t="n"/>
      <c r="T372" s="14" t="n"/>
      <c r="U372" s="14" t="n"/>
    </row>
    <row r="373">
      <c r="H373" s="14" t="n"/>
      <c r="I373" s="14" t="n"/>
      <c r="K373" s="14" t="n"/>
      <c r="L373" s="14" t="n"/>
      <c r="R373" s="14" t="n"/>
      <c r="S373" s="14" t="n"/>
      <c r="T373" s="14" t="n"/>
      <c r="U373" s="14" t="n"/>
    </row>
    <row r="374">
      <c r="H374" s="14" t="n"/>
      <c r="I374" s="14" t="n"/>
      <c r="K374" s="14" t="n"/>
      <c r="L374" s="14" t="n"/>
      <c r="R374" s="14" t="n"/>
      <c r="S374" s="14" t="n"/>
      <c r="T374" s="14" t="n"/>
      <c r="U374" s="14" t="n"/>
    </row>
    <row r="375">
      <c r="H375" s="14" t="n"/>
      <c r="I375" s="14" t="n"/>
      <c r="K375" s="14" t="n"/>
      <c r="L375" s="14" t="n"/>
      <c r="R375" s="14" t="n"/>
      <c r="S375" s="14" t="n"/>
      <c r="T375" s="14" t="n"/>
      <c r="U375" s="14" t="n"/>
    </row>
    <row r="376">
      <c r="H376" s="14" t="n"/>
      <c r="I376" s="14" t="n"/>
      <c r="K376" s="14" t="n"/>
      <c r="L376" s="14" t="n"/>
      <c r="R376" s="14" t="n"/>
      <c r="S376" s="14" t="n"/>
      <c r="T376" s="14" t="n"/>
      <c r="U376" s="14" t="n"/>
    </row>
    <row r="377">
      <c r="H377" s="14" t="n"/>
      <c r="I377" s="14" t="n"/>
      <c r="K377" s="14" t="n"/>
      <c r="L377" s="14" t="n"/>
      <c r="R377" s="14" t="n"/>
      <c r="S377" s="14" t="n"/>
      <c r="T377" s="14" t="n"/>
      <c r="U377" s="14" t="n"/>
    </row>
    <row r="378">
      <c r="H378" s="14" t="n"/>
      <c r="I378" s="14" t="n"/>
      <c r="K378" s="14" t="n"/>
      <c r="L378" s="14" t="n"/>
      <c r="R378" s="14" t="n"/>
      <c r="S378" s="14" t="n"/>
      <c r="T378" s="14" t="n"/>
      <c r="U378" s="14" t="n"/>
    </row>
    <row r="379">
      <c r="H379" s="14" t="n"/>
      <c r="I379" s="14" t="n"/>
      <c r="K379" s="14" t="n"/>
      <c r="L379" s="14" t="n"/>
      <c r="R379" s="14" t="n"/>
      <c r="S379" s="14" t="n"/>
      <c r="T379" s="14" t="n"/>
      <c r="U379" s="14" t="n"/>
    </row>
    <row r="380">
      <c r="H380" s="14" t="n"/>
      <c r="I380" s="14" t="n"/>
      <c r="K380" s="14" t="n"/>
      <c r="L380" s="14" t="n"/>
      <c r="R380" s="14" t="n"/>
      <c r="S380" s="14" t="n"/>
      <c r="T380" s="14" t="n"/>
      <c r="U380" s="14" t="n"/>
    </row>
    <row r="381">
      <c r="H381" s="14" t="n"/>
      <c r="I381" s="14" t="n"/>
      <c r="K381" s="14" t="n"/>
      <c r="L381" s="14" t="n"/>
      <c r="R381" s="14" t="n"/>
      <c r="S381" s="14" t="n"/>
      <c r="T381" s="14" t="n"/>
      <c r="U381" s="14" t="n"/>
    </row>
    <row r="382">
      <c r="H382" s="14" t="n"/>
      <c r="I382" s="14" t="n"/>
      <c r="K382" s="14" t="n"/>
      <c r="L382" s="14" t="n"/>
      <c r="R382" s="14" t="n"/>
      <c r="S382" s="14" t="n"/>
      <c r="T382" s="14" t="n"/>
      <c r="U382" s="14" t="n"/>
    </row>
    <row r="383">
      <c r="H383" s="14" t="n"/>
      <c r="I383" s="14" t="n"/>
      <c r="K383" s="14" t="n"/>
      <c r="L383" s="14" t="n"/>
      <c r="R383" s="14" t="n"/>
      <c r="S383" s="14" t="n"/>
      <c r="T383" s="14" t="n"/>
      <c r="U383" s="14" t="n"/>
    </row>
    <row r="384">
      <c r="H384" s="14" t="n"/>
      <c r="I384" s="14" t="n"/>
      <c r="K384" s="14" t="n"/>
      <c r="L384" s="14" t="n"/>
      <c r="R384" s="14" t="n"/>
      <c r="S384" s="14" t="n"/>
      <c r="T384" s="14" t="n"/>
      <c r="U384" s="14" t="n"/>
    </row>
    <row r="385">
      <c r="H385" s="14" t="n"/>
      <c r="I385" s="14" t="n"/>
      <c r="K385" s="14" t="n"/>
      <c r="L385" s="14" t="n"/>
      <c r="R385" s="14" t="n"/>
      <c r="S385" s="14" t="n"/>
      <c r="T385" s="14" t="n"/>
      <c r="U385" s="14" t="n"/>
    </row>
    <row r="386">
      <c r="H386" s="14" t="n"/>
      <c r="I386" s="14" t="n"/>
      <c r="K386" s="14" t="n"/>
      <c r="L386" s="14" t="n"/>
      <c r="R386" s="14" t="n"/>
      <c r="S386" s="14" t="n"/>
      <c r="T386" s="14" t="n"/>
      <c r="U386" s="14" t="n"/>
    </row>
    <row r="387">
      <c r="H387" s="14" t="n"/>
      <c r="I387" s="14" t="n"/>
      <c r="K387" s="14" t="n"/>
      <c r="L387" s="14" t="n"/>
      <c r="R387" s="14" t="n"/>
      <c r="S387" s="14" t="n"/>
      <c r="T387" s="14" t="n"/>
      <c r="U387" s="14" t="n"/>
    </row>
    <row r="388">
      <c r="H388" s="14" t="n"/>
      <c r="I388" s="14" t="n"/>
      <c r="K388" s="14" t="n"/>
      <c r="L388" s="14" t="n"/>
      <c r="R388" s="14" t="n"/>
      <c r="S388" s="14" t="n"/>
      <c r="T388" s="14" t="n"/>
      <c r="U388" s="14" t="n"/>
    </row>
    <row r="389">
      <c r="H389" s="14" t="n"/>
      <c r="I389" s="14" t="n"/>
      <c r="K389" s="14" t="n"/>
      <c r="L389" s="14" t="n"/>
      <c r="R389" s="14" t="n"/>
      <c r="S389" s="14" t="n"/>
      <c r="T389" s="14" t="n"/>
      <c r="U389" s="14" t="n"/>
    </row>
    <row r="390">
      <c r="H390" s="14" t="n"/>
      <c r="I390" s="14" t="n"/>
      <c r="K390" s="14" t="n"/>
      <c r="L390" s="14" t="n"/>
      <c r="R390" s="14" t="n"/>
      <c r="S390" s="14" t="n"/>
      <c r="T390" s="14" t="n"/>
      <c r="U390" s="14" t="n"/>
    </row>
    <row r="391">
      <c r="H391" s="14" t="n"/>
      <c r="I391" s="14" t="n"/>
      <c r="K391" s="14" t="n"/>
      <c r="L391" s="14" t="n"/>
      <c r="R391" s="14" t="n"/>
      <c r="S391" s="14" t="n"/>
      <c r="T391" s="14" t="n"/>
      <c r="U391" s="14" t="n"/>
    </row>
    <row r="392">
      <c r="H392" s="14" t="n"/>
      <c r="I392" s="14" t="n"/>
      <c r="K392" s="14" t="n"/>
      <c r="L392" s="14" t="n"/>
      <c r="R392" s="14" t="n"/>
      <c r="S392" s="14" t="n"/>
      <c r="T392" s="14" t="n"/>
      <c r="U392" s="14" t="n"/>
    </row>
    <row r="393">
      <c r="H393" s="14" t="n"/>
      <c r="I393" s="14" t="n"/>
      <c r="K393" s="14" t="n"/>
      <c r="L393" s="14" t="n"/>
      <c r="R393" s="14" t="n"/>
      <c r="S393" s="14" t="n"/>
      <c r="T393" s="14" t="n"/>
      <c r="U393" s="14" t="n"/>
    </row>
    <row r="394">
      <c r="H394" s="14" t="n"/>
      <c r="I394" s="14" t="n"/>
      <c r="K394" s="14" t="n"/>
      <c r="L394" s="14" t="n"/>
      <c r="R394" s="14" t="n"/>
      <c r="S394" s="14" t="n"/>
      <c r="T394" s="14" t="n"/>
      <c r="U394" s="14" t="n"/>
    </row>
    <row r="395">
      <c r="H395" s="14" t="n"/>
      <c r="I395" s="14" t="n"/>
      <c r="K395" s="14" t="n"/>
      <c r="L395" s="14" t="n"/>
      <c r="R395" s="14" t="n"/>
      <c r="S395" s="14" t="n"/>
      <c r="T395" s="14" t="n"/>
      <c r="U395" s="14" t="n"/>
    </row>
    <row r="396">
      <c r="H396" s="14" t="n"/>
      <c r="I396" s="14" t="n"/>
      <c r="K396" s="14" t="n"/>
      <c r="L396" s="14" t="n"/>
      <c r="R396" s="14" t="n"/>
      <c r="S396" s="14" t="n"/>
      <c r="T396" s="14" t="n"/>
      <c r="U396" s="14" t="n"/>
    </row>
    <row r="397">
      <c r="H397" s="14" t="n"/>
      <c r="I397" s="14" t="n"/>
      <c r="K397" s="14" t="n"/>
      <c r="L397" s="14" t="n"/>
      <c r="R397" s="14" t="n"/>
      <c r="S397" s="14" t="n"/>
      <c r="T397" s="14" t="n"/>
      <c r="U397" s="14" t="n"/>
    </row>
    <row r="398">
      <c r="H398" s="14" t="n"/>
      <c r="I398" s="14" t="n"/>
      <c r="K398" s="14" t="n"/>
      <c r="L398" s="14" t="n"/>
      <c r="R398" s="14" t="n"/>
      <c r="S398" s="14" t="n"/>
      <c r="T398" s="14" t="n"/>
      <c r="U398" s="14" t="n"/>
    </row>
    <row r="399">
      <c r="H399" s="14" t="n"/>
      <c r="I399" s="14" t="n"/>
      <c r="K399" s="14" t="n"/>
      <c r="L399" s="14" t="n"/>
      <c r="R399" s="14" t="n"/>
      <c r="S399" s="14" t="n"/>
      <c r="T399" s="14" t="n"/>
      <c r="U399" s="14" t="n"/>
    </row>
    <row r="400">
      <c r="H400" s="14" t="n"/>
      <c r="I400" s="14" t="n"/>
      <c r="K400" s="14" t="n"/>
      <c r="L400" s="14" t="n"/>
      <c r="R400" s="14" t="n"/>
      <c r="S400" s="14" t="n"/>
      <c r="T400" s="14" t="n"/>
      <c r="U400" s="14" t="n"/>
    </row>
    <row r="401">
      <c r="H401" s="14" t="n"/>
      <c r="I401" s="14" t="n"/>
      <c r="K401" s="14" t="n"/>
      <c r="L401" s="14" t="n"/>
      <c r="R401" s="14" t="n"/>
      <c r="S401" s="14" t="n"/>
      <c r="T401" s="14" t="n"/>
      <c r="U401" s="14" t="n"/>
    </row>
    <row r="402">
      <c r="H402" s="14" t="n"/>
      <c r="I402" s="14" t="n"/>
      <c r="K402" s="14" t="n"/>
      <c r="L402" s="14" t="n"/>
      <c r="R402" s="14" t="n"/>
      <c r="S402" s="14" t="n"/>
      <c r="T402" s="14" t="n"/>
      <c r="U402" s="14" t="n"/>
    </row>
    <row r="403">
      <c r="H403" s="14" t="n"/>
      <c r="I403" s="14" t="n"/>
      <c r="K403" s="14" t="n"/>
      <c r="L403" s="14" t="n"/>
      <c r="R403" s="14" t="n"/>
      <c r="S403" s="14" t="n"/>
      <c r="T403" s="14" t="n"/>
      <c r="U403" s="14" t="n"/>
    </row>
    <row r="404">
      <c r="H404" s="14" t="n"/>
      <c r="I404" s="14" t="n"/>
      <c r="K404" s="14" t="n"/>
      <c r="L404" s="14" t="n"/>
      <c r="R404" s="14" t="n"/>
      <c r="S404" s="14" t="n"/>
      <c r="T404" s="14" t="n"/>
      <c r="U404" s="14" t="n"/>
    </row>
    <row r="405">
      <c r="H405" s="14" t="n"/>
      <c r="I405" s="14" t="n"/>
      <c r="K405" s="14" t="n"/>
      <c r="L405" s="14" t="n"/>
      <c r="R405" s="14" t="n"/>
      <c r="S405" s="14" t="n"/>
      <c r="T405" s="14" t="n"/>
      <c r="U405" s="14" t="n"/>
    </row>
    <row r="406">
      <c r="H406" s="14" t="n"/>
      <c r="I406" s="14" t="n"/>
      <c r="K406" s="14" t="n"/>
      <c r="L406" s="14" t="n"/>
      <c r="R406" s="14" t="n"/>
      <c r="S406" s="14" t="n"/>
      <c r="T406" s="14" t="n"/>
      <c r="U406" s="14" t="n"/>
    </row>
    <row r="407">
      <c r="H407" s="14" t="n"/>
      <c r="I407" s="14" t="n"/>
      <c r="K407" s="14" t="n"/>
      <c r="L407" s="14" t="n"/>
      <c r="R407" s="14" t="n"/>
      <c r="S407" s="14" t="n"/>
      <c r="T407" s="14" t="n"/>
      <c r="U407" s="14" t="n"/>
    </row>
    <row r="408">
      <c r="H408" s="14" t="n"/>
      <c r="I408" s="14" t="n"/>
      <c r="K408" s="14" t="n"/>
      <c r="L408" s="14" t="n"/>
      <c r="R408" s="14" t="n"/>
      <c r="S408" s="14" t="n"/>
      <c r="T408" s="14" t="n"/>
      <c r="U408" s="14" t="n"/>
    </row>
    <row r="409">
      <c r="H409" s="14" t="n"/>
      <c r="I409" s="14" t="n"/>
      <c r="K409" s="14" t="n"/>
      <c r="L409" s="14" t="n"/>
      <c r="R409" s="14" t="n"/>
      <c r="S409" s="14" t="n"/>
      <c r="T409" s="14" t="n"/>
      <c r="U409" s="14" t="n"/>
    </row>
    <row r="410">
      <c r="H410" s="14" t="n"/>
      <c r="I410" s="14" t="n"/>
      <c r="K410" s="14" t="n"/>
      <c r="L410" s="14" t="n"/>
      <c r="R410" s="14" t="n"/>
      <c r="S410" s="14" t="n"/>
      <c r="T410" s="14" t="n"/>
      <c r="U410" s="14" t="n"/>
    </row>
    <row r="411">
      <c r="H411" s="14" t="n"/>
      <c r="I411" s="14" t="n"/>
      <c r="K411" s="14" t="n"/>
      <c r="L411" s="14" t="n"/>
      <c r="R411" s="14" t="n"/>
      <c r="S411" s="14" t="n"/>
      <c r="T411" s="14" t="n"/>
      <c r="U411" s="14" t="n"/>
    </row>
    <row r="412">
      <c r="H412" s="14" t="n"/>
      <c r="I412" s="14" t="n"/>
      <c r="K412" s="14" t="n"/>
      <c r="L412" s="14" t="n"/>
      <c r="R412" s="14" t="n"/>
      <c r="S412" s="14" t="n"/>
      <c r="T412" s="14" t="n"/>
      <c r="U412" s="14" t="n"/>
    </row>
    <row r="413">
      <c r="H413" s="14" t="n"/>
      <c r="I413" s="14" t="n"/>
      <c r="K413" s="14" t="n"/>
      <c r="L413" s="14" t="n"/>
      <c r="R413" s="14" t="n"/>
      <c r="S413" s="14" t="n"/>
      <c r="T413" s="14" t="n"/>
      <c r="U413" s="14" t="n"/>
    </row>
    <row r="414">
      <c r="H414" s="14" t="n"/>
      <c r="I414" s="14" t="n"/>
      <c r="K414" s="14" t="n"/>
      <c r="L414" s="14" t="n"/>
      <c r="R414" s="14" t="n"/>
      <c r="S414" s="14" t="n"/>
      <c r="T414" s="14" t="n"/>
      <c r="U414" s="14" t="n"/>
    </row>
    <row r="415">
      <c r="H415" s="14" t="n"/>
      <c r="I415" s="14" t="n"/>
      <c r="K415" s="14" t="n"/>
      <c r="L415" s="14" t="n"/>
      <c r="R415" s="14" t="n"/>
      <c r="S415" s="14" t="n"/>
      <c r="T415" s="14" t="n"/>
      <c r="U415" s="14" t="n"/>
    </row>
    <row r="416">
      <c r="H416" s="14" t="n"/>
      <c r="I416" s="14" t="n"/>
      <c r="K416" s="14" t="n"/>
      <c r="L416" s="14" t="n"/>
      <c r="R416" s="14" t="n"/>
      <c r="S416" s="14" t="n"/>
      <c r="T416" s="14" t="n"/>
      <c r="U416" s="14" t="n"/>
    </row>
    <row r="417">
      <c r="H417" s="14" t="n"/>
      <c r="I417" s="14" t="n"/>
      <c r="K417" s="14" t="n"/>
      <c r="L417" s="14" t="n"/>
      <c r="R417" s="14" t="n"/>
      <c r="S417" s="14" t="n"/>
      <c r="T417" s="14" t="n"/>
      <c r="U417" s="14" t="n"/>
    </row>
    <row r="418">
      <c r="H418" s="14" t="n"/>
      <c r="I418" s="14" t="n"/>
      <c r="K418" s="14" t="n"/>
      <c r="L418" s="14" t="n"/>
      <c r="R418" s="14" t="n"/>
      <c r="S418" s="14" t="n"/>
      <c r="T418" s="14" t="n"/>
      <c r="U418" s="14" t="n"/>
    </row>
    <row r="419">
      <c r="H419" s="14" t="n"/>
      <c r="I419" s="14" t="n"/>
      <c r="K419" s="14" t="n"/>
      <c r="L419" s="14" t="n"/>
      <c r="R419" s="14" t="n"/>
      <c r="S419" s="14" t="n"/>
      <c r="T419" s="14" t="n"/>
      <c r="U419" s="14" t="n"/>
    </row>
    <row r="420">
      <c r="H420" s="14" t="n"/>
      <c r="I420" s="14" t="n"/>
      <c r="K420" s="14" t="n"/>
      <c r="L420" s="14" t="n"/>
      <c r="R420" s="14" t="n"/>
      <c r="S420" s="14" t="n"/>
      <c r="T420" s="14" t="n"/>
      <c r="U420" s="14" t="n"/>
    </row>
    <row r="421">
      <c r="H421" s="14" t="n"/>
      <c r="I421" s="14" t="n"/>
      <c r="K421" s="14" t="n"/>
      <c r="L421" s="14" t="n"/>
      <c r="R421" s="14" t="n"/>
      <c r="S421" s="14" t="n"/>
      <c r="T421" s="14" t="n"/>
      <c r="U421" s="14" t="n"/>
    </row>
    <row r="422">
      <c r="H422" s="14" t="n"/>
      <c r="I422" s="14" t="n"/>
      <c r="K422" s="14" t="n"/>
      <c r="L422" s="14" t="n"/>
      <c r="R422" s="14" t="n"/>
      <c r="S422" s="14" t="n"/>
      <c r="T422" s="14" t="n"/>
      <c r="U422" s="14" t="n"/>
    </row>
    <row r="423">
      <c r="H423" s="14" t="n"/>
      <c r="I423" s="14" t="n"/>
      <c r="K423" s="14" t="n"/>
      <c r="L423" s="14" t="n"/>
      <c r="R423" s="14" t="n"/>
      <c r="S423" s="14" t="n"/>
      <c r="T423" s="14" t="n"/>
      <c r="U423" s="14" t="n"/>
    </row>
    <row r="424">
      <c r="H424" s="14" t="n"/>
      <c r="I424" s="14" t="n"/>
      <c r="K424" s="14" t="n"/>
      <c r="L424" s="14" t="n"/>
      <c r="R424" s="14" t="n"/>
      <c r="S424" s="14" t="n"/>
      <c r="T424" s="14" t="n"/>
      <c r="U424" s="14" t="n"/>
    </row>
    <row r="425">
      <c r="H425" s="14" t="n"/>
      <c r="I425" s="14" t="n"/>
      <c r="K425" s="14" t="n"/>
      <c r="L425" s="14" t="n"/>
      <c r="R425" s="14" t="n"/>
      <c r="S425" s="14" t="n"/>
      <c r="T425" s="14" t="n"/>
      <c r="U425" s="14" t="n"/>
    </row>
    <row r="426">
      <c r="H426" s="14" t="n"/>
      <c r="I426" s="14" t="n"/>
      <c r="K426" s="14" t="n"/>
      <c r="L426" s="14" t="n"/>
      <c r="R426" s="14" t="n"/>
      <c r="S426" s="14" t="n"/>
      <c r="T426" s="14" t="n"/>
      <c r="U426" s="14" t="n"/>
    </row>
    <row r="427">
      <c r="H427" s="14" t="n"/>
      <c r="I427" s="14" t="n"/>
      <c r="K427" s="14" t="n"/>
      <c r="L427" s="14" t="n"/>
      <c r="R427" s="14" t="n"/>
      <c r="S427" s="14" t="n"/>
      <c r="T427" s="14" t="n"/>
      <c r="U427" s="14" t="n"/>
    </row>
    <row r="428">
      <c r="H428" s="14" t="n"/>
      <c r="I428" s="14" t="n"/>
      <c r="K428" s="14" t="n"/>
      <c r="L428" s="14" t="n"/>
      <c r="R428" s="14" t="n"/>
      <c r="S428" s="14" t="n"/>
      <c r="T428" s="14" t="n"/>
      <c r="U428" s="14" t="n"/>
    </row>
    <row r="429">
      <c r="H429" s="14" t="n"/>
      <c r="I429" s="14" t="n"/>
      <c r="K429" s="14" t="n"/>
      <c r="L429" s="14" t="n"/>
      <c r="R429" s="14" t="n"/>
      <c r="S429" s="14" t="n"/>
      <c r="T429" s="14" t="n"/>
      <c r="U429" s="14" t="n"/>
    </row>
    <row r="430">
      <c r="H430" s="14" t="n"/>
      <c r="I430" s="14" t="n"/>
      <c r="K430" s="14" t="n"/>
      <c r="L430" s="14" t="n"/>
      <c r="R430" s="14" t="n"/>
      <c r="S430" s="14" t="n"/>
      <c r="T430" s="14" t="n"/>
      <c r="U430" s="14" t="n"/>
    </row>
    <row r="431">
      <c r="H431" s="14" t="n"/>
      <c r="I431" s="14" t="n"/>
      <c r="K431" s="14" t="n"/>
      <c r="L431" s="14" t="n"/>
      <c r="R431" s="14" t="n"/>
      <c r="S431" s="14" t="n"/>
      <c r="T431" s="14" t="n"/>
      <c r="U431" s="14" t="n"/>
    </row>
    <row r="432">
      <c r="H432" s="14" t="n"/>
      <c r="I432" s="14" t="n"/>
      <c r="K432" s="14" t="n"/>
      <c r="L432" s="14" t="n"/>
      <c r="R432" s="14" t="n"/>
      <c r="S432" s="14" t="n"/>
      <c r="T432" s="14" t="n"/>
      <c r="U432" s="14" t="n"/>
    </row>
    <row r="433">
      <c r="H433" s="14" t="n"/>
      <c r="I433" s="14" t="n"/>
      <c r="K433" s="14" t="n"/>
      <c r="L433" s="14" t="n"/>
      <c r="R433" s="14" t="n"/>
      <c r="S433" s="14" t="n"/>
      <c r="T433" s="14" t="n"/>
      <c r="U433" s="14" t="n"/>
    </row>
    <row r="434">
      <c r="H434" s="14" t="n"/>
      <c r="I434" s="14" t="n"/>
      <c r="K434" s="14" t="n"/>
      <c r="L434" s="14" t="n"/>
      <c r="R434" s="14" t="n"/>
      <c r="S434" s="14" t="n"/>
      <c r="T434" s="14" t="n"/>
      <c r="U434" s="14" t="n"/>
    </row>
    <row r="435">
      <c r="H435" s="14" t="n"/>
      <c r="I435" s="14" t="n"/>
      <c r="K435" s="14" t="n"/>
      <c r="L435" s="14" t="n"/>
      <c r="R435" s="14" t="n"/>
      <c r="S435" s="14" t="n"/>
      <c r="T435" s="14" t="n"/>
      <c r="U435" s="14" t="n"/>
    </row>
    <row r="436">
      <c r="H436" s="14" t="n"/>
      <c r="I436" s="14" t="n"/>
      <c r="K436" s="14" t="n"/>
      <c r="L436" s="14" t="n"/>
      <c r="R436" s="14" t="n"/>
      <c r="S436" s="14" t="n"/>
      <c r="T436" s="14" t="n"/>
      <c r="U436" s="14" t="n"/>
    </row>
    <row r="437">
      <c r="H437" s="14" t="n"/>
      <c r="I437" s="14" t="n"/>
      <c r="K437" s="14" t="n"/>
      <c r="L437" s="14" t="n"/>
      <c r="R437" s="14" t="n"/>
      <c r="S437" s="14" t="n"/>
      <c r="T437" s="14" t="n"/>
      <c r="U437" s="14" t="n"/>
    </row>
    <row r="438">
      <c r="H438" s="14" t="n"/>
      <c r="I438" s="14" t="n"/>
      <c r="K438" s="14" t="n"/>
      <c r="L438" s="14" t="n"/>
      <c r="R438" s="14" t="n"/>
      <c r="S438" s="14" t="n"/>
      <c r="T438" s="14" t="n"/>
      <c r="U438" s="14" t="n"/>
    </row>
    <row r="439">
      <c r="H439" s="14" t="n"/>
      <c r="I439" s="14" t="n"/>
      <c r="K439" s="14" t="n"/>
      <c r="L439" s="14" t="n"/>
      <c r="R439" s="14" t="n"/>
      <c r="S439" s="14" t="n"/>
      <c r="T439" s="14" t="n"/>
      <c r="U439" s="14" t="n"/>
    </row>
    <row r="440">
      <c r="H440" s="14" t="n"/>
      <c r="I440" s="14" t="n"/>
      <c r="K440" s="14" t="n"/>
      <c r="L440" s="14" t="n"/>
      <c r="R440" s="14" t="n"/>
      <c r="S440" s="14" t="n"/>
      <c r="T440" s="14" t="n"/>
      <c r="U440" s="14" t="n"/>
    </row>
    <row r="441">
      <c r="H441" s="14" t="n"/>
      <c r="I441" s="14" t="n"/>
      <c r="K441" s="14" t="n"/>
      <c r="L441" s="14" t="n"/>
      <c r="R441" s="14" t="n"/>
      <c r="S441" s="14" t="n"/>
      <c r="T441" s="14" t="n"/>
      <c r="U441" s="14" t="n"/>
    </row>
    <row r="442">
      <c r="H442" s="14" t="n"/>
      <c r="I442" s="14" t="n"/>
      <c r="K442" s="14" t="n"/>
      <c r="L442" s="14" t="n"/>
      <c r="R442" s="14" t="n"/>
      <c r="S442" s="14" t="n"/>
      <c r="T442" s="14" t="n"/>
      <c r="U442" s="14" t="n"/>
    </row>
    <row r="443">
      <c r="H443" s="14" t="n"/>
      <c r="I443" s="14" t="n"/>
      <c r="K443" s="14" t="n"/>
      <c r="L443" s="14" t="n"/>
      <c r="R443" s="14" t="n"/>
      <c r="S443" s="14" t="n"/>
      <c r="T443" s="14" t="n"/>
      <c r="U443" s="14" t="n"/>
    </row>
    <row r="444">
      <c r="H444" s="14" t="n"/>
      <c r="I444" s="14" t="n"/>
      <c r="K444" s="14" t="n"/>
      <c r="L444" s="14" t="n"/>
      <c r="R444" s="14" t="n"/>
      <c r="S444" s="14" t="n"/>
      <c r="T444" s="14" t="n"/>
      <c r="U444" s="14" t="n"/>
    </row>
    <row r="445">
      <c r="H445" s="14" t="n"/>
      <c r="I445" s="14" t="n"/>
      <c r="K445" s="14" t="n"/>
      <c r="L445" s="14" t="n"/>
      <c r="R445" s="14" t="n"/>
      <c r="S445" s="14" t="n"/>
      <c r="T445" s="14" t="n"/>
      <c r="U445" s="14" t="n"/>
    </row>
    <row r="446">
      <c r="H446" s="14" t="n"/>
      <c r="I446" s="14" t="n"/>
      <c r="K446" s="14" t="n"/>
      <c r="L446" s="14" t="n"/>
      <c r="R446" s="14" t="n"/>
      <c r="S446" s="14" t="n"/>
      <c r="T446" s="14" t="n"/>
      <c r="U446" s="14" t="n"/>
    </row>
    <row r="447">
      <c r="H447" s="14" t="n"/>
      <c r="I447" s="14" t="n"/>
      <c r="K447" s="14" t="n"/>
      <c r="L447" s="14" t="n"/>
      <c r="R447" s="14" t="n"/>
      <c r="S447" s="14" t="n"/>
      <c r="T447" s="14" t="n"/>
      <c r="U447" s="14" t="n"/>
    </row>
    <row r="448">
      <c r="H448" s="14" t="n"/>
      <c r="I448" s="14" t="n"/>
      <c r="K448" s="14" t="n"/>
      <c r="L448" s="14" t="n"/>
      <c r="R448" s="14" t="n"/>
      <c r="S448" s="14" t="n"/>
      <c r="T448" s="14" t="n"/>
      <c r="U448" s="14" t="n"/>
    </row>
    <row r="449">
      <c r="H449" s="14" t="n"/>
      <c r="I449" s="14" t="n"/>
      <c r="K449" s="14" t="n"/>
      <c r="L449" s="14" t="n"/>
      <c r="R449" s="14" t="n"/>
      <c r="S449" s="14" t="n"/>
      <c r="T449" s="14" t="n"/>
      <c r="U449" s="14" t="n"/>
    </row>
    <row r="450">
      <c r="H450" s="14" t="n"/>
      <c r="I450" s="14" t="n"/>
      <c r="K450" s="14" t="n"/>
      <c r="L450" s="14" t="n"/>
      <c r="R450" s="14" t="n"/>
      <c r="S450" s="14" t="n"/>
      <c r="T450" s="14" t="n"/>
      <c r="U450" s="14" t="n"/>
    </row>
    <row r="451">
      <c r="H451" s="14" t="n"/>
      <c r="I451" s="14" t="n"/>
      <c r="K451" s="14" t="n"/>
      <c r="L451" s="14" t="n"/>
      <c r="R451" s="14" t="n"/>
      <c r="S451" s="14" t="n"/>
      <c r="T451" s="14" t="n"/>
      <c r="U451" s="14" t="n"/>
    </row>
    <row r="452">
      <c r="H452" s="14" t="n"/>
      <c r="I452" s="14" t="n"/>
      <c r="K452" s="14" t="n"/>
      <c r="L452" s="14" t="n"/>
      <c r="R452" s="14" t="n"/>
      <c r="S452" s="14" t="n"/>
      <c r="T452" s="14" t="n"/>
      <c r="U452" s="14" t="n"/>
    </row>
    <row r="453">
      <c r="H453" s="14" t="n"/>
      <c r="I453" s="14" t="n"/>
      <c r="K453" s="14" t="n"/>
      <c r="L453" s="14" t="n"/>
      <c r="R453" s="14" t="n"/>
      <c r="S453" s="14" t="n"/>
      <c r="T453" s="14" t="n"/>
      <c r="U453" s="14" t="n"/>
    </row>
    <row r="454">
      <c r="H454" s="14" t="n"/>
      <c r="I454" s="14" t="n"/>
      <c r="K454" s="14" t="n"/>
      <c r="L454" s="14" t="n"/>
      <c r="R454" s="14" t="n"/>
      <c r="S454" s="14" t="n"/>
      <c r="T454" s="14" t="n"/>
      <c r="U454" s="14" t="n"/>
    </row>
    <row r="455">
      <c r="H455" s="14" t="n"/>
      <c r="I455" s="14" t="n"/>
      <c r="K455" s="14" t="n"/>
      <c r="L455" s="14" t="n"/>
      <c r="R455" s="14" t="n"/>
      <c r="S455" s="14" t="n"/>
      <c r="T455" s="14" t="n"/>
      <c r="U455" s="14" t="n"/>
    </row>
    <row r="456">
      <c r="H456" s="14" t="n"/>
      <c r="I456" s="14" t="n"/>
      <c r="K456" s="14" t="n"/>
      <c r="L456" s="14" t="n"/>
      <c r="R456" s="14" t="n"/>
      <c r="S456" s="14" t="n"/>
      <c r="T456" s="14" t="n"/>
      <c r="U456" s="14" t="n"/>
    </row>
    <row r="457">
      <c r="H457" s="14" t="n"/>
      <c r="I457" s="14" t="n"/>
      <c r="K457" s="14" t="n"/>
      <c r="L457" s="14" t="n"/>
      <c r="R457" s="14" t="n"/>
      <c r="S457" s="14" t="n"/>
      <c r="T457" s="14" t="n"/>
      <c r="U457" s="14" t="n"/>
    </row>
    <row r="458">
      <c r="H458" s="14" t="n"/>
      <c r="I458" s="14" t="n"/>
      <c r="K458" s="14" t="n"/>
      <c r="L458" s="14" t="n"/>
      <c r="R458" s="14" t="n"/>
      <c r="S458" s="14" t="n"/>
      <c r="T458" s="14" t="n"/>
      <c r="U458" s="14" t="n"/>
    </row>
    <row r="459">
      <c r="H459" s="14" t="n"/>
      <c r="I459" s="14" t="n"/>
      <c r="K459" s="14" t="n"/>
      <c r="L459" s="14" t="n"/>
      <c r="R459" s="14" t="n"/>
      <c r="S459" s="14" t="n"/>
      <c r="T459" s="14" t="n"/>
      <c r="U459" s="14" t="n"/>
    </row>
    <row r="460">
      <c r="H460" s="14" t="n"/>
      <c r="I460" s="14" t="n"/>
      <c r="K460" s="14" t="n"/>
      <c r="L460" s="14" t="n"/>
      <c r="R460" s="14" t="n"/>
      <c r="S460" s="14" t="n"/>
      <c r="T460" s="14" t="n"/>
      <c r="U460" s="14" t="n"/>
    </row>
    <row r="461">
      <c r="H461" s="14" t="n"/>
      <c r="I461" s="14" t="n"/>
      <c r="K461" s="14" t="n"/>
      <c r="L461" s="14" t="n"/>
      <c r="R461" s="14" t="n"/>
      <c r="S461" s="14" t="n"/>
      <c r="T461" s="14" t="n"/>
      <c r="U461" s="14" t="n"/>
    </row>
    <row r="462">
      <c r="H462" s="14" t="n"/>
      <c r="I462" s="14" t="n"/>
      <c r="K462" s="14" t="n"/>
      <c r="L462" s="14" t="n"/>
      <c r="R462" s="14" t="n"/>
      <c r="S462" s="14" t="n"/>
      <c r="T462" s="14" t="n"/>
      <c r="U462" s="14" t="n"/>
    </row>
    <row r="463">
      <c r="H463" s="14" t="n"/>
      <c r="I463" s="14" t="n"/>
      <c r="K463" s="14" t="n"/>
      <c r="L463" s="14" t="n"/>
      <c r="R463" s="14" t="n"/>
      <c r="S463" s="14" t="n"/>
      <c r="T463" s="14" t="n"/>
      <c r="U463" s="14" t="n"/>
    </row>
    <row r="464">
      <c r="H464" s="14" t="n"/>
      <c r="I464" s="14" t="n"/>
      <c r="K464" s="14" t="n"/>
      <c r="L464" s="14" t="n"/>
      <c r="R464" s="14" t="n"/>
      <c r="S464" s="14" t="n"/>
      <c r="T464" s="14" t="n"/>
      <c r="U464" s="14" t="n"/>
    </row>
    <row r="465">
      <c r="H465" s="14" t="n"/>
      <c r="I465" s="14" t="n"/>
      <c r="K465" s="14" t="n"/>
      <c r="L465" s="14" t="n"/>
      <c r="R465" s="14" t="n"/>
      <c r="S465" s="14" t="n"/>
      <c r="T465" s="14" t="n"/>
      <c r="U465" s="14" t="n"/>
    </row>
    <row r="466">
      <c r="H466" s="14" t="n"/>
      <c r="I466" s="14" t="n"/>
      <c r="K466" s="14" t="n"/>
      <c r="L466" s="14" t="n"/>
      <c r="R466" s="14" t="n"/>
      <c r="S466" s="14" t="n"/>
      <c r="T466" s="14" t="n"/>
      <c r="U466" s="14" t="n"/>
    </row>
    <row r="467">
      <c r="H467" s="14" t="n"/>
      <c r="I467" s="14" t="n"/>
      <c r="K467" s="14" t="n"/>
      <c r="L467" s="14" t="n"/>
      <c r="R467" s="14" t="n"/>
      <c r="S467" s="14" t="n"/>
      <c r="T467" s="14" t="n"/>
      <c r="U467" s="14" t="n"/>
    </row>
    <row r="468">
      <c r="H468" s="14" t="n"/>
      <c r="I468" s="14" t="n"/>
      <c r="K468" s="14" t="n"/>
      <c r="L468" s="14" t="n"/>
      <c r="R468" s="14" t="n"/>
      <c r="S468" s="14" t="n"/>
      <c r="T468" s="14" t="n"/>
      <c r="U468" s="14" t="n"/>
    </row>
    <row r="469">
      <c r="H469" s="14" t="n"/>
      <c r="I469" s="14" t="n"/>
      <c r="K469" s="14" t="n"/>
      <c r="L469" s="14" t="n"/>
      <c r="R469" s="14" t="n"/>
      <c r="S469" s="14" t="n"/>
      <c r="T469" s="14" t="n"/>
      <c r="U469" s="14" t="n"/>
    </row>
    <row r="470">
      <c r="H470" s="14" t="n"/>
      <c r="I470" s="14" t="n"/>
      <c r="K470" s="14" t="n"/>
      <c r="L470" s="14" t="n"/>
      <c r="R470" s="14" t="n"/>
      <c r="S470" s="14" t="n"/>
      <c r="T470" s="14" t="n"/>
      <c r="U470" s="14" t="n"/>
    </row>
    <row r="471">
      <c r="H471" s="14" t="n"/>
      <c r="I471" s="14" t="n"/>
      <c r="K471" s="14" t="n"/>
      <c r="L471" s="14" t="n"/>
      <c r="R471" s="14" t="n"/>
      <c r="S471" s="14" t="n"/>
      <c r="T471" s="14" t="n"/>
      <c r="U471" s="14" t="n"/>
    </row>
    <row r="472">
      <c r="H472" s="14" t="n"/>
      <c r="I472" s="14" t="n"/>
      <c r="K472" s="14" t="n"/>
      <c r="L472" s="14" t="n"/>
      <c r="R472" s="14" t="n"/>
      <c r="S472" s="14" t="n"/>
      <c r="T472" s="14" t="n"/>
      <c r="U472" s="14" t="n"/>
    </row>
    <row r="473">
      <c r="H473" s="14" t="n"/>
      <c r="I473" s="14" t="n"/>
      <c r="K473" s="14" t="n"/>
      <c r="L473" s="14" t="n"/>
      <c r="R473" s="14" t="n"/>
      <c r="S473" s="14" t="n"/>
      <c r="T473" s="14" t="n"/>
      <c r="U473" s="14" t="n"/>
    </row>
    <row r="474">
      <c r="H474" s="14" t="n"/>
      <c r="I474" s="14" t="n"/>
      <c r="K474" s="14" t="n"/>
      <c r="L474" s="14" t="n"/>
      <c r="R474" s="14" t="n"/>
      <c r="S474" s="14" t="n"/>
      <c r="T474" s="14" t="n"/>
      <c r="U474" s="14" t="n"/>
    </row>
    <row r="475">
      <c r="H475" s="14" t="n"/>
      <c r="I475" s="14" t="n"/>
      <c r="K475" s="14" t="n"/>
      <c r="L475" s="14" t="n"/>
      <c r="R475" s="14" t="n"/>
      <c r="S475" s="14" t="n"/>
      <c r="T475" s="14" t="n"/>
      <c r="U475" s="14" t="n"/>
    </row>
    <row r="476">
      <c r="H476" s="14" t="n"/>
      <c r="I476" s="14" t="n"/>
      <c r="K476" s="14" t="n"/>
      <c r="L476" s="14" t="n"/>
      <c r="R476" s="14" t="n"/>
      <c r="S476" s="14" t="n"/>
      <c r="T476" s="14" t="n"/>
      <c r="U476" s="14" t="n"/>
    </row>
    <row r="477">
      <c r="H477" s="14" t="n"/>
      <c r="I477" s="14" t="n"/>
      <c r="K477" s="14" t="n"/>
      <c r="L477" s="14" t="n"/>
      <c r="R477" s="14" t="n"/>
      <c r="S477" s="14" t="n"/>
      <c r="T477" s="14" t="n"/>
      <c r="U477" s="14" t="n"/>
    </row>
    <row r="478">
      <c r="H478" s="14" t="n"/>
      <c r="I478" s="14" t="n"/>
      <c r="K478" s="14" t="n"/>
      <c r="L478" s="14" t="n"/>
      <c r="R478" s="14" t="n"/>
      <c r="S478" s="14" t="n"/>
      <c r="T478" s="14" t="n"/>
      <c r="U478" s="14" t="n"/>
    </row>
    <row r="479">
      <c r="H479" s="14" t="n"/>
      <c r="I479" s="14" t="n"/>
      <c r="K479" s="14" t="n"/>
      <c r="L479" s="14" t="n"/>
      <c r="R479" s="14" t="n"/>
      <c r="S479" s="14" t="n"/>
      <c r="T479" s="14" t="n"/>
      <c r="U479" s="14" t="n"/>
    </row>
    <row r="480">
      <c r="H480" s="14" t="n"/>
      <c r="I480" s="14" t="n"/>
      <c r="K480" s="14" t="n"/>
      <c r="L480" s="14" t="n"/>
      <c r="R480" s="14" t="n"/>
      <c r="S480" s="14" t="n"/>
      <c r="T480" s="14" t="n"/>
      <c r="U480" s="14" t="n"/>
    </row>
    <row r="481">
      <c r="H481" s="14" t="n"/>
      <c r="I481" s="14" t="n"/>
      <c r="K481" s="14" t="n"/>
      <c r="L481" s="14" t="n"/>
      <c r="R481" s="14" t="n"/>
      <c r="S481" s="14" t="n"/>
      <c r="T481" s="14" t="n"/>
      <c r="U481" s="14" t="n"/>
    </row>
    <row r="482">
      <c r="H482" s="14" t="n"/>
      <c r="I482" s="14" t="n"/>
      <c r="K482" s="14" t="n"/>
      <c r="L482" s="14" t="n"/>
      <c r="R482" s="14" t="n"/>
      <c r="S482" s="14" t="n"/>
      <c r="T482" s="14" t="n"/>
      <c r="U482" s="14" t="n"/>
    </row>
    <row r="483">
      <c r="H483" s="14" t="n"/>
      <c r="I483" s="14" t="n"/>
      <c r="K483" s="14" t="n"/>
      <c r="L483" s="14" t="n"/>
      <c r="R483" s="14" t="n"/>
      <c r="S483" s="14" t="n"/>
      <c r="T483" s="14" t="n"/>
      <c r="U483" s="14" t="n"/>
    </row>
    <row r="484">
      <c r="H484" s="14" t="n"/>
      <c r="I484" s="14" t="n"/>
      <c r="K484" s="14" t="n"/>
      <c r="L484" s="14" t="n"/>
      <c r="R484" s="14" t="n"/>
      <c r="S484" s="14" t="n"/>
      <c r="T484" s="14" t="n"/>
      <c r="U484" s="14" t="n"/>
    </row>
    <row r="485">
      <c r="H485" s="14" t="n"/>
      <c r="I485" s="14" t="n"/>
      <c r="K485" s="14" t="n"/>
      <c r="L485" s="14" t="n"/>
      <c r="R485" s="14" t="n"/>
      <c r="S485" s="14" t="n"/>
      <c r="T485" s="14" t="n"/>
      <c r="U485" s="14" t="n"/>
    </row>
    <row r="486">
      <c r="H486" s="14" t="n"/>
      <c r="I486" s="14" t="n"/>
      <c r="K486" s="14" t="n"/>
      <c r="L486" s="14" t="n"/>
      <c r="R486" s="14" t="n"/>
      <c r="S486" s="14" t="n"/>
      <c r="T486" s="14" t="n"/>
      <c r="U486" s="14" t="n"/>
    </row>
    <row r="487">
      <c r="H487" s="14" t="n"/>
      <c r="I487" s="14" t="n"/>
      <c r="K487" s="14" t="n"/>
      <c r="L487" s="14" t="n"/>
      <c r="R487" s="14" t="n"/>
      <c r="S487" s="14" t="n"/>
      <c r="T487" s="14" t="n"/>
      <c r="U487" s="14" t="n"/>
    </row>
    <row r="488">
      <c r="H488" s="14" t="n"/>
      <c r="I488" s="14" t="n"/>
      <c r="K488" s="14" t="n"/>
      <c r="L488" s="14" t="n"/>
      <c r="R488" s="14" t="n"/>
      <c r="S488" s="14" t="n"/>
      <c r="T488" s="14" t="n"/>
      <c r="U488" s="14" t="n"/>
    </row>
    <row r="489">
      <c r="H489" s="14" t="n"/>
      <c r="I489" s="14" t="n"/>
      <c r="K489" s="14" t="n"/>
      <c r="L489" s="14" t="n"/>
      <c r="R489" s="14" t="n"/>
      <c r="S489" s="14" t="n"/>
      <c r="T489" s="14" t="n"/>
      <c r="U489" s="14" t="n"/>
    </row>
    <row r="490">
      <c r="H490" s="14" t="n"/>
      <c r="I490" s="14" t="n"/>
      <c r="K490" s="14" t="n"/>
      <c r="L490" s="14" t="n"/>
      <c r="R490" s="14" t="n"/>
      <c r="S490" s="14" t="n"/>
      <c r="T490" s="14" t="n"/>
      <c r="U490" s="14" t="n"/>
    </row>
    <row r="491">
      <c r="H491" s="14" t="n"/>
      <c r="I491" s="14" t="n"/>
      <c r="K491" s="14" t="n"/>
      <c r="L491" s="14" t="n"/>
      <c r="R491" s="14" t="n"/>
      <c r="S491" s="14" t="n"/>
      <c r="T491" s="14" t="n"/>
      <c r="U491" s="14" t="n"/>
    </row>
    <row r="492">
      <c r="H492" s="14" t="n"/>
      <c r="I492" s="14" t="n"/>
      <c r="K492" s="14" t="n"/>
      <c r="L492" s="14" t="n"/>
      <c r="R492" s="14" t="n"/>
      <c r="S492" s="14" t="n"/>
      <c r="T492" s="14" t="n"/>
      <c r="U492" s="14" t="n"/>
    </row>
    <row r="493">
      <c r="H493" s="14" t="n"/>
      <c r="I493" s="14" t="n"/>
      <c r="K493" s="14" t="n"/>
      <c r="L493" s="14" t="n"/>
      <c r="R493" s="14" t="n"/>
      <c r="S493" s="14" t="n"/>
      <c r="T493" s="14" t="n"/>
      <c r="U493" s="14" t="n"/>
    </row>
    <row r="494">
      <c r="H494" s="14" t="n"/>
      <c r="I494" s="14" t="n"/>
      <c r="K494" s="14" t="n"/>
      <c r="L494" s="14" t="n"/>
      <c r="R494" s="14" t="n"/>
      <c r="S494" s="14" t="n"/>
      <c r="T494" s="14" t="n"/>
      <c r="U494" s="14" t="n"/>
    </row>
    <row r="495">
      <c r="H495" s="14" t="n"/>
      <c r="I495" s="14" t="n"/>
      <c r="K495" s="14" t="n"/>
      <c r="L495" s="14" t="n"/>
      <c r="R495" s="14" t="n"/>
      <c r="S495" s="14" t="n"/>
      <c r="T495" s="14" t="n"/>
      <c r="U495" s="14" t="n"/>
    </row>
    <row r="496">
      <c r="H496" s="14" t="n"/>
      <c r="I496" s="14" t="n"/>
      <c r="K496" s="14" t="n"/>
      <c r="L496" s="14" t="n"/>
      <c r="R496" s="14" t="n"/>
      <c r="S496" s="14" t="n"/>
      <c r="T496" s="14" t="n"/>
      <c r="U496" s="14" t="n"/>
    </row>
    <row r="497">
      <c r="H497" s="14" t="n"/>
      <c r="I497" s="14" t="n"/>
      <c r="K497" s="14" t="n"/>
      <c r="L497" s="14" t="n"/>
      <c r="R497" s="14" t="n"/>
      <c r="S497" s="14" t="n"/>
      <c r="T497" s="14" t="n"/>
      <c r="U497" s="14" t="n"/>
    </row>
    <row r="498">
      <c r="H498" s="14" t="n"/>
      <c r="I498" s="14" t="n"/>
      <c r="K498" s="14" t="n"/>
      <c r="L498" s="14" t="n"/>
      <c r="R498" s="14" t="n"/>
      <c r="S498" s="14" t="n"/>
      <c r="T498" s="14" t="n"/>
      <c r="U498" s="14" t="n"/>
    </row>
    <row r="499">
      <c r="H499" s="14" t="n"/>
      <c r="I499" s="14" t="n"/>
      <c r="K499" s="14" t="n"/>
      <c r="L499" s="14" t="n"/>
      <c r="R499" s="14" t="n"/>
      <c r="S499" s="14" t="n"/>
      <c r="T499" s="14" t="n"/>
      <c r="U499" s="14" t="n"/>
    </row>
    <row r="500">
      <c r="H500" s="14" t="n"/>
      <c r="I500" s="14" t="n"/>
      <c r="K500" s="14" t="n"/>
      <c r="L500" s="14" t="n"/>
      <c r="R500" s="14" t="n"/>
      <c r="S500" s="14" t="n"/>
      <c r="T500" s="14" t="n"/>
      <c r="U500" s="14" t="n"/>
    </row>
    <row r="501">
      <c r="H501" s="14" t="n"/>
      <c r="I501" s="14" t="n"/>
      <c r="K501" s="14" t="n"/>
      <c r="L501" s="14" t="n"/>
      <c r="R501" s="14" t="n"/>
      <c r="S501" s="14" t="n"/>
      <c r="T501" s="14" t="n"/>
      <c r="U501" s="14" t="n"/>
    </row>
    <row r="502">
      <c r="H502" s="14" t="n"/>
      <c r="I502" s="14" t="n"/>
      <c r="K502" s="14" t="n"/>
      <c r="L502" s="14" t="n"/>
      <c r="R502" s="14" t="n"/>
      <c r="S502" s="14" t="n"/>
      <c r="T502" s="14" t="n"/>
      <c r="U502" s="14" t="n"/>
    </row>
    <row r="503">
      <c r="H503" s="14" t="n"/>
      <c r="I503" s="14" t="n"/>
      <c r="K503" s="14" t="n"/>
      <c r="L503" s="14" t="n"/>
      <c r="R503" s="14" t="n"/>
      <c r="S503" s="14" t="n"/>
      <c r="T503" s="14" t="n"/>
      <c r="U503" s="14" t="n"/>
    </row>
    <row r="504">
      <c r="H504" s="14" t="n"/>
      <c r="I504" s="14" t="n"/>
      <c r="K504" s="14" t="n"/>
      <c r="L504" s="14" t="n"/>
      <c r="R504" s="14" t="n"/>
      <c r="S504" s="14" t="n"/>
      <c r="T504" s="14" t="n"/>
      <c r="U504" s="14" t="n"/>
    </row>
    <row r="505">
      <c r="H505" s="14" t="n"/>
      <c r="I505" s="14" t="n"/>
      <c r="K505" s="14" t="n"/>
      <c r="L505" s="14" t="n"/>
      <c r="R505" s="14" t="n"/>
      <c r="S505" s="14" t="n"/>
      <c r="T505" s="14" t="n"/>
      <c r="U505" s="14" t="n"/>
    </row>
    <row r="506">
      <c r="H506" s="14" t="n"/>
      <c r="I506" s="14" t="n"/>
      <c r="K506" s="14" t="n"/>
      <c r="L506" s="14" t="n"/>
      <c r="R506" s="14" t="n"/>
      <c r="S506" s="14" t="n"/>
      <c r="T506" s="14" t="n"/>
      <c r="U506" s="14" t="n"/>
    </row>
    <row r="507">
      <c r="H507" s="14" t="n"/>
      <c r="I507" s="14" t="n"/>
      <c r="K507" s="14" t="n"/>
      <c r="L507" s="14" t="n"/>
      <c r="R507" s="14" t="n"/>
      <c r="S507" s="14" t="n"/>
      <c r="T507" s="14" t="n"/>
      <c r="U507" s="14" t="n"/>
    </row>
    <row r="508">
      <c r="H508" s="14" t="n"/>
      <c r="I508" s="14" t="n"/>
      <c r="K508" s="14" t="n"/>
      <c r="L508" s="14" t="n"/>
      <c r="R508" s="14" t="n"/>
      <c r="S508" s="14" t="n"/>
      <c r="T508" s="14" t="n"/>
      <c r="U508" s="14" t="n"/>
    </row>
    <row r="509">
      <c r="H509" s="14" t="n"/>
      <c r="I509" s="14" t="n"/>
      <c r="K509" s="14" t="n"/>
      <c r="L509" s="14" t="n"/>
      <c r="R509" s="14" t="n"/>
      <c r="S509" s="14" t="n"/>
      <c r="T509" s="14" t="n"/>
      <c r="U509" s="14" t="n"/>
    </row>
    <row r="510">
      <c r="H510" s="14" t="n"/>
      <c r="I510" s="14" t="n"/>
      <c r="K510" s="14" t="n"/>
      <c r="L510" s="14" t="n"/>
      <c r="R510" s="14" t="n"/>
      <c r="S510" s="14" t="n"/>
      <c r="T510" s="14" t="n"/>
      <c r="U510" s="14" t="n"/>
    </row>
    <row r="511">
      <c r="H511" s="14" t="n"/>
      <c r="I511" s="14" t="n"/>
      <c r="K511" s="14" t="n"/>
      <c r="L511" s="14" t="n"/>
      <c r="R511" s="14" t="n"/>
      <c r="S511" s="14" t="n"/>
      <c r="T511" s="14" t="n"/>
      <c r="U511" s="14" t="n"/>
    </row>
    <row r="512">
      <c r="H512" s="14" t="n"/>
      <c r="I512" s="14" t="n"/>
      <c r="K512" s="14" t="n"/>
      <c r="L512" s="14" t="n"/>
      <c r="R512" s="14" t="n"/>
      <c r="S512" s="14" t="n"/>
      <c r="T512" s="14" t="n"/>
      <c r="U512" s="14" t="n"/>
    </row>
    <row r="513">
      <c r="H513" s="14" t="n"/>
      <c r="I513" s="14" t="n"/>
      <c r="K513" s="14" t="n"/>
      <c r="L513" s="14" t="n"/>
      <c r="R513" s="14" t="n"/>
      <c r="S513" s="14" t="n"/>
      <c r="T513" s="14" t="n"/>
      <c r="U513" s="14" t="n"/>
    </row>
    <row r="514">
      <c r="H514" s="14" t="n"/>
      <c r="I514" s="14" t="n"/>
      <c r="K514" s="14" t="n"/>
      <c r="L514" s="14" t="n"/>
      <c r="R514" s="14" t="n"/>
      <c r="S514" s="14" t="n"/>
      <c r="T514" s="14" t="n"/>
      <c r="U514" s="14" t="n"/>
    </row>
    <row r="515">
      <c r="H515" s="14" t="n"/>
      <c r="I515" s="14" t="n"/>
      <c r="K515" s="14" t="n"/>
      <c r="L515" s="14" t="n"/>
      <c r="R515" s="14" t="n"/>
      <c r="S515" s="14" t="n"/>
      <c r="T515" s="14" t="n"/>
      <c r="U515" s="14" t="n"/>
    </row>
    <row r="516">
      <c r="H516" s="14" t="n"/>
      <c r="I516" s="14" t="n"/>
      <c r="K516" s="14" t="n"/>
      <c r="L516" s="14" t="n"/>
      <c r="R516" s="14" t="n"/>
      <c r="S516" s="14" t="n"/>
      <c r="T516" s="14" t="n"/>
      <c r="U516" s="14" t="n"/>
    </row>
    <row r="517">
      <c r="H517" s="14" t="n"/>
      <c r="I517" s="14" t="n"/>
      <c r="K517" s="14" t="n"/>
      <c r="L517" s="14" t="n"/>
      <c r="R517" s="14" t="n"/>
      <c r="S517" s="14" t="n"/>
      <c r="T517" s="14" t="n"/>
      <c r="U517" s="14" t="n"/>
    </row>
    <row r="518">
      <c r="H518" s="14" t="n"/>
      <c r="I518" s="14" t="n"/>
      <c r="K518" s="14" t="n"/>
      <c r="L518" s="14" t="n"/>
      <c r="R518" s="14" t="n"/>
      <c r="S518" s="14" t="n"/>
      <c r="T518" s="14" t="n"/>
      <c r="U518" s="14" t="n"/>
    </row>
    <row r="519">
      <c r="H519" s="14" t="n"/>
      <c r="I519" s="14" t="n"/>
      <c r="K519" s="14" t="n"/>
      <c r="L519" s="14" t="n"/>
      <c r="R519" s="14" t="n"/>
      <c r="S519" s="14" t="n"/>
      <c r="T519" s="14" t="n"/>
      <c r="U519" s="14" t="n"/>
    </row>
    <row r="520">
      <c r="H520" s="14" t="n"/>
      <c r="I520" s="14" t="n"/>
      <c r="K520" s="14" t="n"/>
      <c r="L520" s="14" t="n"/>
      <c r="R520" s="14" t="n"/>
      <c r="S520" s="14" t="n"/>
      <c r="T520" s="14" t="n"/>
      <c r="U520" s="14" t="n"/>
    </row>
    <row r="521">
      <c r="H521" s="14" t="n"/>
      <c r="I521" s="14" t="n"/>
      <c r="K521" s="14" t="n"/>
      <c r="L521" s="14" t="n"/>
      <c r="R521" s="14" t="n"/>
      <c r="S521" s="14" t="n"/>
      <c r="T521" s="14" t="n"/>
      <c r="U521" s="14" t="n"/>
    </row>
    <row r="522">
      <c r="H522" s="14" t="n"/>
      <c r="I522" s="14" t="n"/>
      <c r="K522" s="14" t="n"/>
      <c r="L522" s="14" t="n"/>
      <c r="R522" s="14" t="n"/>
      <c r="S522" s="14" t="n"/>
      <c r="T522" s="14" t="n"/>
      <c r="U522" s="14" t="n"/>
    </row>
    <row r="523">
      <c r="H523" s="14" t="n"/>
      <c r="I523" s="14" t="n"/>
      <c r="K523" s="14" t="n"/>
      <c r="L523" s="14" t="n"/>
      <c r="R523" s="14" t="n"/>
      <c r="S523" s="14" t="n"/>
      <c r="T523" s="14" t="n"/>
      <c r="U523" s="14" t="n"/>
    </row>
    <row r="524">
      <c r="H524" s="14" t="n"/>
      <c r="I524" s="14" t="n"/>
      <c r="K524" s="14" t="n"/>
      <c r="L524" s="14" t="n"/>
      <c r="R524" s="14" t="n"/>
      <c r="S524" s="14" t="n"/>
      <c r="T524" s="14" t="n"/>
      <c r="U524" s="14" t="n"/>
    </row>
    <row r="525">
      <c r="H525" s="14" t="n"/>
      <c r="I525" s="14" t="n"/>
      <c r="K525" s="14" t="n"/>
      <c r="L525" s="14" t="n"/>
      <c r="R525" s="14" t="n"/>
      <c r="S525" s="14" t="n"/>
      <c r="T525" s="14" t="n"/>
      <c r="U525" s="14" t="n"/>
    </row>
    <row r="526">
      <c r="H526" s="14" t="n"/>
      <c r="I526" s="14" t="n"/>
      <c r="K526" s="14" t="n"/>
      <c r="L526" s="14" t="n"/>
      <c r="R526" s="14" t="n"/>
      <c r="S526" s="14" t="n"/>
      <c r="T526" s="14" t="n"/>
      <c r="U526" s="14" t="n"/>
    </row>
    <row r="527">
      <c r="H527" s="14" t="n"/>
      <c r="I527" s="14" t="n"/>
      <c r="K527" s="14" t="n"/>
      <c r="L527" s="14" t="n"/>
      <c r="R527" s="14" t="n"/>
      <c r="S527" s="14" t="n"/>
      <c r="T527" s="14" t="n"/>
      <c r="U527" s="14" t="n"/>
    </row>
    <row r="528">
      <c r="H528" s="14" t="n"/>
      <c r="I528" s="14" t="n"/>
      <c r="K528" s="14" t="n"/>
      <c r="L528" s="14" t="n"/>
      <c r="R528" s="14" t="n"/>
      <c r="S528" s="14" t="n"/>
      <c r="T528" s="14" t="n"/>
      <c r="U528" s="14" t="n"/>
    </row>
    <row r="529">
      <c r="H529" s="14" t="n"/>
      <c r="I529" s="14" t="n"/>
      <c r="K529" s="14" t="n"/>
      <c r="L529" s="14" t="n"/>
      <c r="R529" s="14" t="n"/>
      <c r="S529" s="14" t="n"/>
      <c r="T529" s="14" t="n"/>
      <c r="U529" s="14" t="n"/>
    </row>
    <row r="530">
      <c r="H530" s="14" t="n"/>
      <c r="I530" s="14" t="n"/>
      <c r="K530" s="14" t="n"/>
      <c r="L530" s="14" t="n"/>
      <c r="R530" s="14" t="n"/>
      <c r="S530" s="14" t="n"/>
      <c r="T530" s="14" t="n"/>
      <c r="U530" s="14" t="n"/>
    </row>
    <row r="531">
      <c r="H531" s="14" t="n"/>
      <c r="I531" s="14" t="n"/>
      <c r="K531" s="14" t="n"/>
      <c r="L531" s="14" t="n"/>
      <c r="R531" s="14" t="n"/>
      <c r="S531" s="14" t="n"/>
      <c r="T531" s="14" t="n"/>
      <c r="U531" s="14" t="n"/>
    </row>
    <row r="532">
      <c r="H532" s="14" t="n"/>
      <c r="I532" s="14" t="n"/>
      <c r="K532" s="14" t="n"/>
      <c r="L532" s="14" t="n"/>
      <c r="R532" s="14" t="n"/>
      <c r="S532" s="14" t="n"/>
      <c r="T532" s="14" t="n"/>
      <c r="U532" s="14" t="n"/>
    </row>
    <row r="533">
      <c r="H533" s="14" t="n"/>
      <c r="I533" s="14" t="n"/>
      <c r="K533" s="14" t="n"/>
      <c r="L533" s="14" t="n"/>
      <c r="R533" s="14" t="n"/>
      <c r="S533" s="14" t="n"/>
      <c r="T533" s="14" t="n"/>
      <c r="U533" s="14" t="n"/>
    </row>
    <row r="534">
      <c r="H534" s="14" t="n"/>
      <c r="I534" s="14" t="n"/>
      <c r="K534" s="14" t="n"/>
      <c r="L534" s="14" t="n"/>
      <c r="R534" s="14" t="n"/>
      <c r="S534" s="14" t="n"/>
      <c r="T534" s="14" t="n"/>
      <c r="U534" s="14" t="n"/>
    </row>
    <row r="535">
      <c r="H535" s="14" t="n"/>
      <c r="I535" s="14" t="n"/>
      <c r="K535" s="14" t="n"/>
      <c r="L535" s="14" t="n"/>
      <c r="R535" s="14" t="n"/>
      <c r="S535" s="14" t="n"/>
      <c r="T535" s="14" t="n"/>
      <c r="U535" s="14" t="n"/>
    </row>
    <row r="536">
      <c r="H536" s="14" t="n"/>
      <c r="I536" s="14" t="n"/>
      <c r="K536" s="14" t="n"/>
      <c r="L536" s="14" t="n"/>
      <c r="R536" s="14" t="n"/>
      <c r="S536" s="14" t="n"/>
      <c r="T536" s="14" t="n"/>
      <c r="U536" s="14" t="n"/>
    </row>
    <row r="537">
      <c r="H537" s="14" t="n"/>
      <c r="I537" s="14" t="n"/>
      <c r="K537" s="14" t="n"/>
      <c r="L537" s="14" t="n"/>
      <c r="R537" s="14" t="n"/>
      <c r="S537" s="14" t="n"/>
      <c r="T537" s="14" t="n"/>
      <c r="U537" s="14" t="n"/>
    </row>
    <row r="538">
      <c r="H538" s="14" t="n"/>
      <c r="I538" s="14" t="n"/>
      <c r="K538" s="14" t="n"/>
      <c r="L538" s="14" t="n"/>
      <c r="R538" s="14" t="n"/>
      <c r="S538" s="14" t="n"/>
      <c r="T538" s="14" t="n"/>
      <c r="U538" s="14" t="n"/>
    </row>
    <row r="539">
      <c r="H539" s="14" t="n"/>
      <c r="I539" s="14" t="n"/>
      <c r="K539" s="14" t="n"/>
      <c r="L539" s="14" t="n"/>
      <c r="R539" s="14" t="n"/>
      <c r="S539" s="14" t="n"/>
      <c r="T539" s="14" t="n"/>
      <c r="U539" s="14" t="n"/>
    </row>
    <row r="540">
      <c r="H540" s="14" t="n"/>
      <c r="I540" s="14" t="n"/>
      <c r="K540" s="14" t="n"/>
      <c r="L540" s="14" t="n"/>
      <c r="R540" s="14" t="n"/>
      <c r="S540" s="14" t="n"/>
      <c r="T540" s="14" t="n"/>
      <c r="U540" s="14" t="n"/>
    </row>
    <row r="541">
      <c r="H541" s="14" t="n"/>
      <c r="I541" s="14" t="n"/>
      <c r="K541" s="14" t="n"/>
      <c r="L541" s="14" t="n"/>
      <c r="R541" s="14" t="n"/>
      <c r="S541" s="14" t="n"/>
      <c r="T541" s="14" t="n"/>
      <c r="U541" s="14" t="n"/>
    </row>
    <row r="542">
      <c r="H542" s="14" t="n"/>
      <c r="I542" s="14" t="n"/>
      <c r="K542" s="14" t="n"/>
      <c r="L542" s="14" t="n"/>
      <c r="R542" s="14" t="n"/>
      <c r="S542" s="14" t="n"/>
      <c r="T542" s="14" t="n"/>
      <c r="U542" s="14" t="n"/>
    </row>
    <row r="543">
      <c r="H543" s="14" t="n"/>
      <c r="I543" s="14" t="n"/>
      <c r="K543" s="14" t="n"/>
      <c r="L543" s="14" t="n"/>
      <c r="R543" s="14" t="n"/>
      <c r="S543" s="14" t="n"/>
      <c r="T543" s="14" t="n"/>
      <c r="U543" s="14" t="n"/>
    </row>
    <row r="544">
      <c r="H544" s="14" t="n"/>
      <c r="I544" s="14" t="n"/>
      <c r="K544" s="14" t="n"/>
      <c r="L544" s="14" t="n"/>
      <c r="R544" s="14" t="n"/>
      <c r="S544" s="14" t="n"/>
      <c r="T544" s="14" t="n"/>
      <c r="U544" s="14" t="n"/>
    </row>
    <row r="545">
      <c r="H545" s="14" t="n"/>
      <c r="I545" s="14" t="n"/>
      <c r="K545" s="14" t="n"/>
      <c r="L545" s="14" t="n"/>
      <c r="R545" s="14" t="n"/>
      <c r="S545" s="14" t="n"/>
      <c r="T545" s="14" t="n"/>
      <c r="U545" s="14" t="n"/>
    </row>
    <row r="546">
      <c r="H546" s="14" t="n"/>
      <c r="I546" s="14" t="n"/>
      <c r="K546" s="14" t="n"/>
      <c r="L546" s="14" t="n"/>
      <c r="R546" s="14" t="n"/>
      <c r="S546" s="14" t="n"/>
      <c r="T546" s="14" t="n"/>
      <c r="U546" s="14" t="n"/>
    </row>
    <row r="547">
      <c r="H547" s="14" t="n"/>
      <c r="I547" s="14" t="n"/>
      <c r="K547" s="14" t="n"/>
      <c r="L547" s="14" t="n"/>
      <c r="R547" s="14" t="n"/>
      <c r="S547" s="14" t="n"/>
      <c r="T547" s="14" t="n"/>
      <c r="U547" s="14" t="n"/>
    </row>
    <row r="548">
      <c r="H548" s="14" t="n"/>
      <c r="I548" s="14" t="n"/>
      <c r="K548" s="14" t="n"/>
      <c r="L548" s="14" t="n"/>
      <c r="R548" s="14" t="n"/>
      <c r="S548" s="14" t="n"/>
      <c r="T548" s="14" t="n"/>
      <c r="U548" s="14" t="n"/>
    </row>
    <row r="549">
      <c r="H549" s="14" t="n"/>
      <c r="I549" s="14" t="n"/>
      <c r="K549" s="14" t="n"/>
      <c r="L549" s="14" t="n"/>
      <c r="R549" s="14" t="n"/>
      <c r="S549" s="14" t="n"/>
      <c r="T549" s="14" t="n"/>
      <c r="U549" s="14" t="n"/>
    </row>
    <row r="550">
      <c r="H550" s="14" t="n"/>
      <c r="I550" s="14" t="n"/>
      <c r="K550" s="14" t="n"/>
      <c r="L550" s="14" t="n"/>
      <c r="R550" s="14" t="n"/>
      <c r="S550" s="14" t="n"/>
      <c r="T550" s="14" t="n"/>
      <c r="U550" s="14" t="n"/>
    </row>
    <row r="551">
      <c r="H551" s="14" t="n"/>
      <c r="I551" s="14" t="n"/>
      <c r="K551" s="14" t="n"/>
      <c r="L551" s="14" t="n"/>
      <c r="R551" s="14" t="n"/>
      <c r="S551" s="14" t="n"/>
      <c r="T551" s="14" t="n"/>
      <c r="U551" s="14" t="n"/>
    </row>
    <row r="552">
      <c r="H552" s="14" t="n"/>
      <c r="I552" s="14" t="n"/>
      <c r="K552" s="14" t="n"/>
      <c r="L552" s="14" t="n"/>
      <c r="R552" s="14" t="n"/>
      <c r="S552" s="14" t="n"/>
      <c r="T552" s="14" t="n"/>
      <c r="U552" s="14" t="n"/>
    </row>
    <row r="553">
      <c r="H553" s="14" t="n"/>
      <c r="I553" s="14" t="n"/>
      <c r="K553" s="14" t="n"/>
      <c r="L553" s="14" t="n"/>
      <c r="R553" s="14" t="n"/>
      <c r="S553" s="14" t="n"/>
      <c r="T553" s="14" t="n"/>
      <c r="U553" s="14" t="n"/>
    </row>
    <row r="554">
      <c r="H554" s="14" t="n"/>
      <c r="I554" s="14" t="n"/>
      <c r="K554" s="14" t="n"/>
      <c r="L554" s="14" t="n"/>
      <c r="R554" s="14" t="n"/>
      <c r="S554" s="14" t="n"/>
      <c r="T554" s="14" t="n"/>
      <c r="U554" s="14" t="n"/>
    </row>
    <row r="555">
      <c r="H555" s="14" t="n"/>
      <c r="I555" s="14" t="n"/>
      <c r="K555" s="14" t="n"/>
      <c r="L555" s="14" t="n"/>
      <c r="R555" s="14" t="n"/>
      <c r="S555" s="14" t="n"/>
      <c r="T555" s="14" t="n"/>
      <c r="U555" s="14" t="n"/>
    </row>
    <row r="556">
      <c r="H556" s="14" t="n"/>
      <c r="I556" s="14" t="n"/>
      <c r="K556" s="14" t="n"/>
      <c r="L556" s="14" t="n"/>
      <c r="R556" s="14" t="n"/>
      <c r="S556" s="14" t="n"/>
      <c r="T556" s="14" t="n"/>
      <c r="U556" s="14" t="n"/>
    </row>
    <row r="557">
      <c r="H557" s="14" t="n"/>
      <c r="I557" s="14" t="n"/>
      <c r="K557" s="14" t="n"/>
      <c r="L557" s="14" t="n"/>
      <c r="R557" s="14" t="n"/>
      <c r="S557" s="14" t="n"/>
      <c r="T557" s="14" t="n"/>
      <c r="U557" s="14" t="n"/>
    </row>
    <row r="558">
      <c r="H558" s="14" t="n"/>
      <c r="I558" s="14" t="n"/>
      <c r="K558" s="14" t="n"/>
      <c r="L558" s="14" t="n"/>
      <c r="R558" s="14" t="n"/>
      <c r="S558" s="14" t="n"/>
      <c r="T558" s="14" t="n"/>
      <c r="U558" s="14" t="n"/>
    </row>
    <row r="559">
      <c r="H559" s="14" t="n"/>
      <c r="I559" s="14" t="n"/>
      <c r="K559" s="14" t="n"/>
      <c r="L559" s="14" t="n"/>
      <c r="R559" s="14" t="n"/>
      <c r="S559" s="14" t="n"/>
      <c r="T559" s="14" t="n"/>
      <c r="U559" s="14" t="n"/>
    </row>
    <row r="560">
      <c r="H560" s="14" t="n"/>
      <c r="I560" s="14" t="n"/>
      <c r="K560" s="14" t="n"/>
      <c r="L560" s="14" t="n"/>
      <c r="R560" s="14" t="n"/>
      <c r="S560" s="14" t="n"/>
      <c r="T560" s="14" t="n"/>
      <c r="U560" s="14" t="n"/>
    </row>
    <row r="561">
      <c r="H561" s="14" t="n"/>
      <c r="I561" s="14" t="n"/>
      <c r="K561" s="14" t="n"/>
      <c r="L561" s="14" t="n"/>
      <c r="R561" s="14" t="n"/>
      <c r="S561" s="14" t="n"/>
      <c r="T561" s="14" t="n"/>
      <c r="U561" s="14" t="n"/>
    </row>
    <row r="562">
      <c r="H562" s="14" t="n"/>
      <c r="I562" s="14" t="n"/>
      <c r="K562" s="14" t="n"/>
      <c r="L562" s="14" t="n"/>
      <c r="R562" s="14" t="n"/>
      <c r="S562" s="14" t="n"/>
      <c r="T562" s="14" t="n"/>
      <c r="U562" s="14" t="n"/>
    </row>
    <row r="563">
      <c r="H563" s="14" t="n"/>
      <c r="I563" s="14" t="n"/>
      <c r="K563" s="14" t="n"/>
      <c r="L563" s="14" t="n"/>
      <c r="R563" s="14" t="n"/>
      <c r="S563" s="14" t="n"/>
      <c r="T563" s="14" t="n"/>
      <c r="U563" s="14" t="n"/>
    </row>
    <row r="564">
      <c r="H564" s="14" t="n"/>
      <c r="I564" s="14" t="n"/>
      <c r="K564" s="14" t="n"/>
      <c r="L564" s="14" t="n"/>
      <c r="R564" s="14" t="n"/>
      <c r="S564" s="14" t="n"/>
      <c r="T564" s="14" t="n"/>
      <c r="U564" s="14" t="n"/>
    </row>
    <row r="565">
      <c r="H565" s="14" t="n"/>
      <c r="I565" s="14" t="n"/>
      <c r="K565" s="14" t="n"/>
      <c r="L565" s="14" t="n"/>
      <c r="R565" s="14" t="n"/>
      <c r="S565" s="14" t="n"/>
      <c r="T565" s="14" t="n"/>
      <c r="U565" s="14" t="n"/>
    </row>
    <row r="566">
      <c r="H566" s="14" t="n"/>
      <c r="I566" s="14" t="n"/>
      <c r="K566" s="14" t="n"/>
      <c r="L566" s="14" t="n"/>
      <c r="R566" s="14" t="n"/>
      <c r="S566" s="14" t="n"/>
      <c r="T566" s="14" t="n"/>
      <c r="U566" s="14" t="n"/>
    </row>
    <row r="567">
      <c r="H567" s="14" t="n"/>
      <c r="I567" s="14" t="n"/>
      <c r="K567" s="14" t="n"/>
      <c r="L567" s="14" t="n"/>
      <c r="R567" s="14" t="n"/>
      <c r="S567" s="14" t="n"/>
      <c r="T567" s="14" t="n"/>
      <c r="U567" s="14" t="n"/>
    </row>
    <row r="568">
      <c r="H568" s="14" t="n"/>
      <c r="I568" s="14" t="n"/>
      <c r="K568" s="14" t="n"/>
      <c r="L568" s="14" t="n"/>
      <c r="R568" s="14" t="n"/>
      <c r="S568" s="14" t="n"/>
      <c r="T568" s="14" t="n"/>
      <c r="U568" s="14" t="n"/>
    </row>
    <row r="569">
      <c r="H569" s="14" t="n"/>
      <c r="I569" s="14" t="n"/>
      <c r="K569" s="14" t="n"/>
      <c r="L569" s="14" t="n"/>
      <c r="R569" s="14" t="n"/>
      <c r="S569" s="14" t="n"/>
      <c r="T569" s="14" t="n"/>
      <c r="U569" s="14" t="n"/>
    </row>
    <row r="570">
      <c r="H570" s="14" t="n"/>
      <c r="I570" s="14" t="n"/>
      <c r="K570" s="14" t="n"/>
      <c r="L570" s="14" t="n"/>
      <c r="R570" s="14" t="n"/>
      <c r="S570" s="14" t="n"/>
      <c r="T570" s="14" t="n"/>
      <c r="U570" s="14" t="n"/>
    </row>
    <row r="571">
      <c r="H571" s="14" t="n"/>
      <c r="I571" s="14" t="n"/>
      <c r="K571" s="14" t="n"/>
      <c r="L571" s="14" t="n"/>
      <c r="R571" s="14" t="n"/>
      <c r="S571" s="14" t="n"/>
      <c r="T571" s="14" t="n"/>
      <c r="U571" s="14" t="n"/>
    </row>
    <row r="572">
      <c r="H572" s="14" t="n"/>
      <c r="I572" s="14" t="n"/>
      <c r="K572" s="14" t="n"/>
      <c r="L572" s="14" t="n"/>
      <c r="R572" s="14" t="n"/>
      <c r="S572" s="14" t="n"/>
      <c r="T572" s="14" t="n"/>
      <c r="U572" s="14" t="n"/>
    </row>
    <row r="573">
      <c r="H573" s="14" t="n"/>
      <c r="I573" s="14" t="n"/>
      <c r="K573" s="14" t="n"/>
      <c r="L573" s="14" t="n"/>
      <c r="R573" s="14" t="n"/>
      <c r="S573" s="14" t="n"/>
      <c r="T573" s="14" t="n"/>
      <c r="U573" s="14" t="n"/>
    </row>
    <row r="574">
      <c r="H574" s="14" t="n"/>
      <c r="I574" s="14" t="n"/>
      <c r="K574" s="14" t="n"/>
      <c r="L574" s="14" t="n"/>
      <c r="R574" s="14" t="n"/>
      <c r="S574" s="14" t="n"/>
      <c r="T574" s="14" t="n"/>
      <c r="U574" s="14" t="n"/>
    </row>
    <row r="575">
      <c r="H575" s="14" t="n"/>
      <c r="I575" s="14" t="n"/>
      <c r="K575" s="14" t="n"/>
      <c r="L575" s="14" t="n"/>
      <c r="R575" s="14" t="n"/>
      <c r="S575" s="14" t="n"/>
      <c r="T575" s="14" t="n"/>
      <c r="U575" s="14" t="n"/>
    </row>
    <row r="576">
      <c r="H576" s="14" t="n"/>
      <c r="I576" s="14" t="n"/>
      <c r="K576" s="14" t="n"/>
      <c r="L576" s="14" t="n"/>
      <c r="R576" s="14" t="n"/>
      <c r="S576" s="14" t="n"/>
      <c r="T576" s="14" t="n"/>
      <c r="U576" s="14" t="n"/>
    </row>
    <row r="577">
      <c r="H577" s="14" t="n"/>
      <c r="I577" s="14" t="n"/>
      <c r="K577" s="14" t="n"/>
      <c r="L577" s="14" t="n"/>
      <c r="R577" s="14" t="n"/>
      <c r="S577" s="14" t="n"/>
      <c r="T577" s="14" t="n"/>
      <c r="U577" s="14" t="n"/>
    </row>
    <row r="578">
      <c r="H578" s="14" t="n"/>
      <c r="I578" s="14" t="n"/>
      <c r="K578" s="14" t="n"/>
      <c r="L578" s="14" t="n"/>
      <c r="R578" s="14" t="n"/>
      <c r="S578" s="14" t="n"/>
      <c r="T578" s="14" t="n"/>
      <c r="U578" s="14" t="n"/>
    </row>
    <row r="579">
      <c r="H579" s="14" t="n"/>
      <c r="I579" s="14" t="n"/>
      <c r="K579" s="14" t="n"/>
      <c r="L579" s="14" t="n"/>
      <c r="R579" s="14" t="n"/>
      <c r="S579" s="14" t="n"/>
      <c r="T579" s="14" t="n"/>
      <c r="U579" s="14" t="n"/>
    </row>
    <row r="580">
      <c r="H580" s="14" t="n"/>
      <c r="I580" s="14" t="n"/>
      <c r="K580" s="14" t="n"/>
      <c r="L580" s="14" t="n"/>
      <c r="R580" s="14" t="n"/>
      <c r="S580" s="14" t="n"/>
      <c r="T580" s="14" t="n"/>
      <c r="U580" s="14" t="n"/>
    </row>
    <row r="581">
      <c r="H581" s="14" t="n"/>
      <c r="I581" s="14" t="n"/>
      <c r="K581" s="14" t="n"/>
      <c r="L581" s="14" t="n"/>
      <c r="R581" s="14" t="n"/>
      <c r="S581" s="14" t="n"/>
      <c r="T581" s="14" t="n"/>
      <c r="U581" s="14" t="n"/>
    </row>
    <row r="582">
      <c r="H582" s="14" t="n"/>
      <c r="I582" s="14" t="n"/>
      <c r="K582" s="14" t="n"/>
      <c r="L582" s="14" t="n"/>
      <c r="R582" s="14" t="n"/>
      <c r="S582" s="14" t="n"/>
      <c r="T582" s="14" t="n"/>
      <c r="U582" s="14" t="n"/>
    </row>
    <row r="583">
      <c r="H583" s="14" t="n"/>
      <c r="I583" s="14" t="n"/>
      <c r="K583" s="14" t="n"/>
      <c r="L583" s="14" t="n"/>
      <c r="R583" s="14" t="n"/>
      <c r="S583" s="14" t="n"/>
      <c r="T583" s="14" t="n"/>
      <c r="U583" s="14" t="n"/>
    </row>
    <row r="584">
      <c r="H584" s="14" t="n"/>
      <c r="I584" s="14" t="n"/>
      <c r="K584" s="14" t="n"/>
      <c r="L584" s="14" t="n"/>
      <c r="R584" s="14" t="n"/>
      <c r="S584" s="14" t="n"/>
      <c r="T584" s="14" t="n"/>
      <c r="U584" s="14" t="n"/>
    </row>
    <row r="585">
      <c r="H585" s="14" t="n"/>
      <c r="I585" s="14" t="n"/>
      <c r="K585" s="14" t="n"/>
      <c r="L585" s="14" t="n"/>
      <c r="R585" s="14" t="n"/>
      <c r="S585" s="14" t="n"/>
      <c r="T585" s="14" t="n"/>
      <c r="U585" s="14" t="n"/>
    </row>
    <row r="586">
      <c r="H586" s="14" t="n"/>
      <c r="I586" s="14" t="n"/>
      <c r="K586" s="14" t="n"/>
      <c r="L586" s="14" t="n"/>
      <c r="R586" s="14" t="n"/>
      <c r="S586" s="14" t="n"/>
      <c r="T586" s="14" t="n"/>
      <c r="U586" s="14" t="n"/>
    </row>
    <row r="587">
      <c r="H587" s="14" t="n"/>
      <c r="I587" s="14" t="n"/>
      <c r="K587" s="14" t="n"/>
      <c r="L587" s="14" t="n"/>
      <c r="R587" s="14" t="n"/>
      <c r="S587" s="14" t="n"/>
      <c r="T587" s="14" t="n"/>
      <c r="U587" s="14" t="n"/>
    </row>
    <row r="588">
      <c r="H588" s="14" t="n"/>
      <c r="I588" s="14" t="n"/>
      <c r="K588" s="14" t="n"/>
      <c r="L588" s="14" t="n"/>
      <c r="R588" s="14" t="n"/>
      <c r="S588" s="14" t="n"/>
      <c r="T588" s="14" t="n"/>
      <c r="U588" s="14" t="n"/>
    </row>
    <row r="589">
      <c r="H589" s="14" t="n"/>
      <c r="I589" s="14" t="n"/>
      <c r="K589" s="14" t="n"/>
      <c r="L589" s="14" t="n"/>
      <c r="R589" s="14" t="n"/>
      <c r="S589" s="14" t="n"/>
      <c r="T589" s="14" t="n"/>
      <c r="U589" s="14" t="n"/>
    </row>
    <row r="590">
      <c r="H590" s="14" t="n"/>
      <c r="I590" s="14" t="n"/>
      <c r="K590" s="14" t="n"/>
      <c r="L590" s="14" t="n"/>
      <c r="R590" s="14" t="n"/>
      <c r="S590" s="14" t="n"/>
      <c r="T590" s="14" t="n"/>
      <c r="U590" s="14" t="n"/>
    </row>
    <row r="591">
      <c r="H591" s="14" t="n"/>
      <c r="I591" s="14" t="n"/>
      <c r="K591" s="14" t="n"/>
      <c r="L591" s="14" t="n"/>
      <c r="R591" s="14" t="n"/>
      <c r="S591" s="14" t="n"/>
      <c r="T591" s="14" t="n"/>
      <c r="U591" s="14" t="n"/>
    </row>
    <row r="592">
      <c r="H592" s="14" t="n"/>
      <c r="I592" s="14" t="n"/>
      <c r="K592" s="14" t="n"/>
      <c r="L592" s="14" t="n"/>
      <c r="R592" s="14" t="n"/>
      <c r="S592" s="14" t="n"/>
      <c r="T592" s="14" t="n"/>
      <c r="U592" s="14" t="n"/>
    </row>
    <row r="593">
      <c r="H593" s="14" t="n"/>
      <c r="I593" s="14" t="n"/>
      <c r="K593" s="14" t="n"/>
      <c r="L593" s="14" t="n"/>
      <c r="R593" s="14" t="n"/>
      <c r="S593" s="14" t="n"/>
      <c r="T593" s="14" t="n"/>
      <c r="U593" s="14" t="n"/>
    </row>
    <row r="594">
      <c r="H594" s="14" t="n"/>
      <c r="I594" s="14" t="n"/>
      <c r="K594" s="14" t="n"/>
      <c r="L594" s="14" t="n"/>
      <c r="R594" s="14" t="n"/>
      <c r="S594" s="14" t="n"/>
      <c r="T594" s="14" t="n"/>
      <c r="U594" s="14" t="n"/>
    </row>
    <row r="595">
      <c r="H595" s="14" t="n"/>
      <c r="I595" s="14" t="n"/>
      <c r="K595" s="14" t="n"/>
      <c r="L595" s="14" t="n"/>
      <c r="R595" s="14" t="n"/>
      <c r="S595" s="14" t="n"/>
      <c r="T595" s="14" t="n"/>
      <c r="U595" s="14" t="n"/>
    </row>
    <row r="596">
      <c r="H596" s="14" t="n"/>
      <c r="I596" s="14" t="n"/>
      <c r="K596" s="14" t="n"/>
      <c r="L596" s="14" t="n"/>
      <c r="R596" s="14" t="n"/>
      <c r="S596" s="14" t="n"/>
      <c r="T596" s="14" t="n"/>
      <c r="U596" s="14" t="n"/>
    </row>
    <row r="597">
      <c r="H597" s="14" t="n"/>
      <c r="I597" s="14" t="n"/>
      <c r="K597" s="14" t="n"/>
      <c r="L597" s="14" t="n"/>
      <c r="R597" s="14" t="n"/>
      <c r="S597" s="14" t="n"/>
      <c r="T597" s="14" t="n"/>
      <c r="U597" s="14" t="n"/>
    </row>
    <row r="598">
      <c r="H598" s="14" t="n"/>
      <c r="I598" s="14" t="n"/>
      <c r="K598" s="14" t="n"/>
      <c r="L598" s="14" t="n"/>
      <c r="R598" s="14" t="n"/>
      <c r="S598" s="14" t="n"/>
      <c r="T598" s="14" t="n"/>
      <c r="U598" s="14" t="n"/>
    </row>
    <row r="599">
      <c r="H599" s="14" t="n"/>
      <c r="I599" s="14" t="n"/>
      <c r="K599" s="14" t="n"/>
      <c r="L599" s="14" t="n"/>
      <c r="R599" s="14" t="n"/>
      <c r="S599" s="14" t="n"/>
      <c r="T599" s="14" t="n"/>
      <c r="U599" s="14" t="n"/>
    </row>
    <row r="600">
      <c r="H600" s="14" t="n"/>
      <c r="I600" s="14" t="n"/>
      <c r="K600" s="14" t="n"/>
      <c r="L600" s="14" t="n"/>
      <c r="R600" s="14" t="n"/>
      <c r="S600" s="14" t="n"/>
      <c r="T600" s="14" t="n"/>
      <c r="U600" s="14" t="n"/>
    </row>
    <row r="601">
      <c r="H601" s="14" t="n"/>
      <c r="I601" s="14" t="n"/>
      <c r="K601" s="14" t="n"/>
      <c r="L601" s="14" t="n"/>
      <c r="R601" s="14" t="n"/>
      <c r="S601" s="14" t="n"/>
      <c r="T601" s="14" t="n"/>
      <c r="U601" s="14" t="n"/>
    </row>
    <row r="602">
      <c r="H602" s="14" t="n"/>
      <c r="I602" s="14" t="n"/>
      <c r="K602" s="14" t="n"/>
      <c r="L602" s="14" t="n"/>
      <c r="R602" s="14" t="n"/>
      <c r="S602" s="14" t="n"/>
      <c r="T602" s="14" t="n"/>
      <c r="U602" s="14" t="n"/>
    </row>
    <row r="603">
      <c r="H603" s="14" t="n"/>
      <c r="I603" s="14" t="n"/>
      <c r="K603" s="14" t="n"/>
      <c r="L603" s="14" t="n"/>
      <c r="R603" s="14" t="n"/>
      <c r="S603" s="14" t="n"/>
      <c r="T603" s="14" t="n"/>
      <c r="U603" s="14" t="n"/>
    </row>
    <row r="604">
      <c r="H604" s="14" t="n"/>
      <c r="I604" s="14" t="n"/>
      <c r="K604" s="14" t="n"/>
      <c r="L604" s="14" t="n"/>
      <c r="R604" s="14" t="n"/>
      <c r="S604" s="14" t="n"/>
      <c r="T604" s="14" t="n"/>
      <c r="U604" s="14" t="n"/>
    </row>
    <row r="605">
      <c r="H605" s="14" t="n"/>
      <c r="I605" s="14" t="n"/>
      <c r="K605" s="14" t="n"/>
      <c r="L605" s="14" t="n"/>
      <c r="R605" s="14" t="n"/>
      <c r="S605" s="14" t="n"/>
      <c r="T605" s="14" t="n"/>
      <c r="U605" s="14" t="n"/>
    </row>
    <row r="606">
      <c r="H606" s="14" t="n"/>
      <c r="I606" s="14" t="n"/>
      <c r="K606" s="14" t="n"/>
      <c r="L606" s="14" t="n"/>
      <c r="R606" s="14" t="n"/>
      <c r="S606" s="14" t="n"/>
      <c r="T606" s="14" t="n"/>
      <c r="U606" s="14" t="n"/>
    </row>
    <row r="607">
      <c r="H607" s="14" t="n"/>
      <c r="I607" s="14" t="n"/>
      <c r="K607" s="14" t="n"/>
      <c r="L607" s="14" t="n"/>
      <c r="R607" s="14" t="n"/>
      <c r="S607" s="14" t="n"/>
      <c r="T607" s="14" t="n"/>
      <c r="U607" s="14" t="n"/>
    </row>
    <row r="608">
      <c r="H608" s="14" t="n"/>
      <c r="I608" s="14" t="n"/>
      <c r="K608" s="14" t="n"/>
      <c r="L608" s="14" t="n"/>
      <c r="R608" s="14" t="n"/>
      <c r="S608" s="14" t="n"/>
      <c r="T608" s="14" t="n"/>
      <c r="U608" s="14" t="n"/>
    </row>
    <row r="609">
      <c r="H609" s="14" t="n"/>
      <c r="I609" s="14" t="n"/>
      <c r="K609" s="14" t="n"/>
      <c r="L609" s="14" t="n"/>
      <c r="R609" s="14" t="n"/>
      <c r="S609" s="14" t="n"/>
      <c r="T609" s="14" t="n"/>
      <c r="U609" s="14" t="n"/>
    </row>
    <row r="610">
      <c r="H610" s="14" t="n"/>
      <c r="I610" s="14" t="n"/>
      <c r="K610" s="14" t="n"/>
      <c r="L610" s="14" t="n"/>
      <c r="R610" s="14" t="n"/>
      <c r="S610" s="14" t="n"/>
      <c r="T610" s="14" t="n"/>
      <c r="U610" s="14" t="n"/>
    </row>
    <row r="611">
      <c r="H611" s="14" t="n"/>
      <c r="I611" s="14" t="n"/>
      <c r="K611" s="14" t="n"/>
      <c r="L611" s="14" t="n"/>
      <c r="R611" s="14" t="n"/>
      <c r="S611" s="14" t="n"/>
      <c r="T611" s="14" t="n"/>
      <c r="U611" s="14" t="n"/>
    </row>
    <row r="612">
      <c r="H612" s="14" t="n"/>
      <c r="I612" s="14" t="n"/>
      <c r="K612" s="14" t="n"/>
      <c r="L612" s="14" t="n"/>
      <c r="R612" s="14" t="n"/>
      <c r="S612" s="14" t="n"/>
      <c r="T612" s="14" t="n"/>
      <c r="U612" s="14" t="n"/>
    </row>
    <row r="613">
      <c r="H613" s="14" t="n"/>
      <c r="I613" s="14" t="n"/>
      <c r="K613" s="14" t="n"/>
      <c r="L613" s="14" t="n"/>
      <c r="R613" s="14" t="n"/>
      <c r="S613" s="14" t="n"/>
      <c r="T613" s="14" t="n"/>
      <c r="U613" s="14" t="n"/>
    </row>
    <row r="614">
      <c r="H614" s="14" t="n"/>
      <c r="I614" s="14" t="n"/>
      <c r="K614" s="14" t="n"/>
      <c r="L614" s="14" t="n"/>
      <c r="R614" s="14" t="n"/>
      <c r="S614" s="14" t="n"/>
      <c r="T614" s="14" t="n"/>
      <c r="U614" s="14" t="n"/>
    </row>
    <row r="615">
      <c r="H615" s="14" t="n"/>
      <c r="I615" s="14" t="n"/>
      <c r="K615" s="14" t="n"/>
      <c r="L615" s="14" t="n"/>
      <c r="R615" s="14" t="n"/>
      <c r="S615" s="14" t="n"/>
      <c r="T615" s="14" t="n"/>
      <c r="U615" s="14" t="n"/>
    </row>
    <row r="616">
      <c r="H616" s="14" t="n"/>
      <c r="I616" s="14" t="n"/>
      <c r="K616" s="14" t="n"/>
      <c r="L616" s="14" t="n"/>
      <c r="R616" s="14" t="n"/>
      <c r="S616" s="14" t="n"/>
      <c r="T616" s="14" t="n"/>
      <c r="U616" s="14" t="n"/>
    </row>
    <row r="617">
      <c r="H617" s="14" t="n"/>
      <c r="I617" s="14" t="n"/>
      <c r="K617" s="14" t="n"/>
      <c r="L617" s="14" t="n"/>
      <c r="R617" s="14" t="n"/>
      <c r="S617" s="14" t="n"/>
      <c r="T617" s="14" t="n"/>
      <c r="U617" s="14" t="n"/>
    </row>
    <row r="618">
      <c r="H618" s="14" t="n"/>
      <c r="I618" s="14" t="n"/>
      <c r="K618" s="14" t="n"/>
      <c r="L618" s="14" t="n"/>
      <c r="R618" s="14" t="n"/>
      <c r="S618" s="14" t="n"/>
      <c r="T618" s="14" t="n"/>
      <c r="U618" s="14" t="n"/>
    </row>
    <row r="619">
      <c r="H619" s="14" t="n"/>
      <c r="I619" s="14" t="n"/>
      <c r="K619" s="14" t="n"/>
      <c r="L619" s="14" t="n"/>
      <c r="R619" s="14" t="n"/>
      <c r="S619" s="14" t="n"/>
      <c r="T619" s="14" t="n"/>
      <c r="U619" s="14" t="n"/>
    </row>
    <row r="620">
      <c r="H620" s="14" t="n"/>
      <c r="I620" s="14" t="n"/>
      <c r="K620" s="14" t="n"/>
      <c r="L620" s="14" t="n"/>
      <c r="R620" s="14" t="n"/>
      <c r="S620" s="14" t="n"/>
      <c r="T620" s="14" t="n"/>
      <c r="U620" s="14" t="n"/>
    </row>
    <row r="621">
      <c r="H621" s="14" t="n"/>
      <c r="I621" s="14" t="n"/>
      <c r="K621" s="14" t="n"/>
      <c r="L621" s="14" t="n"/>
      <c r="R621" s="14" t="n"/>
      <c r="S621" s="14" t="n"/>
      <c r="T621" s="14" t="n"/>
      <c r="U621" s="14" t="n"/>
    </row>
    <row r="622">
      <c r="H622" s="14" t="n"/>
      <c r="I622" s="14" t="n"/>
      <c r="K622" s="14" t="n"/>
      <c r="L622" s="14" t="n"/>
      <c r="R622" s="14" t="n"/>
      <c r="S622" s="14" t="n"/>
      <c r="T622" s="14" t="n"/>
      <c r="U622" s="14" t="n"/>
    </row>
    <row r="623">
      <c r="H623" s="14" t="n"/>
      <c r="I623" s="14" t="n"/>
      <c r="K623" s="14" t="n"/>
      <c r="L623" s="14" t="n"/>
      <c r="R623" s="14" t="n"/>
      <c r="S623" s="14" t="n"/>
      <c r="T623" s="14" t="n"/>
      <c r="U623" s="14" t="n"/>
    </row>
    <row r="624">
      <c r="H624" s="14" t="n"/>
      <c r="I624" s="14" t="n"/>
      <c r="K624" s="14" t="n"/>
      <c r="L624" s="14" t="n"/>
      <c r="R624" s="14" t="n"/>
      <c r="S624" s="14" t="n"/>
      <c r="T624" s="14" t="n"/>
      <c r="U624" s="14" t="n"/>
    </row>
    <row r="625">
      <c r="H625" s="14" t="n"/>
      <c r="I625" s="14" t="n"/>
      <c r="K625" s="14" t="n"/>
      <c r="L625" s="14" t="n"/>
      <c r="R625" s="14" t="n"/>
      <c r="S625" s="14" t="n"/>
      <c r="T625" s="14" t="n"/>
      <c r="U625" s="14" t="n"/>
    </row>
    <row r="626">
      <c r="H626" s="14" t="n"/>
      <c r="I626" s="14" t="n"/>
      <c r="K626" s="14" t="n"/>
      <c r="L626" s="14" t="n"/>
      <c r="R626" s="14" t="n"/>
      <c r="S626" s="14" t="n"/>
      <c r="T626" s="14" t="n"/>
      <c r="U626" s="14" t="n"/>
    </row>
    <row r="627">
      <c r="H627" s="14" t="n"/>
      <c r="I627" s="14" t="n"/>
      <c r="K627" s="14" t="n"/>
      <c r="L627" s="14" t="n"/>
      <c r="R627" s="14" t="n"/>
      <c r="S627" s="14" t="n"/>
      <c r="T627" s="14" t="n"/>
      <c r="U627" s="14" t="n"/>
    </row>
    <row r="628">
      <c r="H628" s="14" t="n"/>
      <c r="I628" s="14" t="n"/>
      <c r="K628" s="14" t="n"/>
      <c r="L628" s="14" t="n"/>
      <c r="R628" s="14" t="n"/>
      <c r="S628" s="14" t="n"/>
      <c r="T628" s="14" t="n"/>
      <c r="U628" s="14" t="n"/>
    </row>
    <row r="629">
      <c r="H629" s="14" t="n"/>
      <c r="I629" s="14" t="n"/>
      <c r="K629" s="14" t="n"/>
      <c r="L629" s="14" t="n"/>
      <c r="R629" s="14" t="n"/>
      <c r="S629" s="14" t="n"/>
      <c r="T629" s="14" t="n"/>
      <c r="U629" s="14" t="n"/>
    </row>
    <row r="630">
      <c r="H630" s="14" t="n"/>
      <c r="I630" s="14" t="n"/>
      <c r="K630" s="14" t="n"/>
      <c r="L630" s="14" t="n"/>
      <c r="R630" s="14" t="n"/>
      <c r="S630" s="14" t="n"/>
      <c r="T630" s="14" t="n"/>
      <c r="U630" s="14" t="n"/>
    </row>
    <row r="631">
      <c r="H631" s="14" t="n"/>
      <c r="I631" s="14" t="n"/>
      <c r="K631" s="14" t="n"/>
      <c r="L631" s="14" t="n"/>
      <c r="R631" s="14" t="n"/>
      <c r="S631" s="14" t="n"/>
      <c r="T631" s="14" t="n"/>
      <c r="U631" s="14" t="n"/>
    </row>
    <row r="632">
      <c r="H632" s="14" t="n"/>
      <c r="I632" s="14" t="n"/>
      <c r="K632" s="14" t="n"/>
      <c r="L632" s="14" t="n"/>
      <c r="R632" s="14" t="n"/>
      <c r="S632" s="14" t="n"/>
      <c r="T632" s="14" t="n"/>
      <c r="U632" s="14" t="n"/>
    </row>
    <row r="633">
      <c r="H633" s="14" t="n"/>
      <c r="I633" s="14" t="n"/>
      <c r="K633" s="14" t="n"/>
      <c r="L633" s="14" t="n"/>
      <c r="R633" s="14" t="n"/>
      <c r="S633" s="14" t="n"/>
      <c r="T633" s="14" t="n"/>
      <c r="U633" s="14" t="n"/>
    </row>
    <row r="634">
      <c r="H634" s="14" t="n"/>
      <c r="I634" s="14" t="n"/>
      <c r="K634" s="14" t="n"/>
      <c r="L634" s="14" t="n"/>
      <c r="R634" s="14" t="n"/>
      <c r="S634" s="14" t="n"/>
      <c r="T634" s="14" t="n"/>
      <c r="U634" s="14" t="n"/>
    </row>
    <row r="635">
      <c r="H635" s="14" t="n"/>
      <c r="I635" s="14" t="n"/>
      <c r="K635" s="14" t="n"/>
      <c r="L635" s="14" t="n"/>
      <c r="R635" s="14" t="n"/>
      <c r="S635" s="14" t="n"/>
      <c r="T635" s="14" t="n"/>
      <c r="U635" s="14" t="n"/>
    </row>
    <row r="636">
      <c r="H636" s="14" t="n"/>
      <c r="I636" s="14" t="n"/>
      <c r="K636" s="14" t="n"/>
      <c r="L636" s="14" t="n"/>
      <c r="R636" s="14" t="n"/>
      <c r="S636" s="14" t="n"/>
      <c r="T636" s="14" t="n"/>
      <c r="U636" s="14" t="n"/>
    </row>
    <row r="637">
      <c r="H637" s="14" t="n"/>
      <c r="I637" s="14" t="n"/>
      <c r="K637" s="14" t="n"/>
      <c r="L637" s="14" t="n"/>
      <c r="R637" s="14" t="n"/>
      <c r="S637" s="14" t="n"/>
      <c r="T637" s="14" t="n"/>
      <c r="U637" s="14" t="n"/>
    </row>
    <row r="638">
      <c r="H638" s="14" t="n"/>
      <c r="I638" s="14" t="n"/>
      <c r="K638" s="14" t="n"/>
      <c r="L638" s="14" t="n"/>
      <c r="R638" s="14" t="n"/>
      <c r="S638" s="14" t="n"/>
      <c r="T638" s="14" t="n"/>
      <c r="U638" s="14" t="n"/>
    </row>
    <row r="639">
      <c r="H639" s="14" t="n"/>
      <c r="I639" s="14" t="n"/>
      <c r="K639" s="14" t="n"/>
      <c r="L639" s="14" t="n"/>
      <c r="R639" s="14" t="n"/>
      <c r="S639" s="14" t="n"/>
      <c r="T639" s="14" t="n"/>
      <c r="U639" s="14" t="n"/>
    </row>
    <row r="640">
      <c r="H640" s="14" t="n"/>
      <c r="I640" s="14" t="n"/>
      <c r="K640" s="14" t="n"/>
      <c r="L640" s="14" t="n"/>
      <c r="R640" s="14" t="n"/>
      <c r="S640" s="14" t="n"/>
      <c r="T640" s="14" t="n"/>
      <c r="U640" s="14" t="n"/>
    </row>
    <row r="641">
      <c r="H641" s="14" t="n"/>
      <c r="I641" s="14" t="n"/>
      <c r="K641" s="14" t="n"/>
      <c r="L641" s="14" t="n"/>
      <c r="R641" s="14" t="n"/>
      <c r="S641" s="14" t="n"/>
      <c r="T641" s="14" t="n"/>
      <c r="U641" s="14" t="n"/>
    </row>
    <row r="642">
      <c r="H642" s="14" t="n"/>
      <c r="I642" s="14" t="n"/>
      <c r="K642" s="14" t="n"/>
      <c r="L642" s="14" t="n"/>
      <c r="R642" s="14" t="n"/>
      <c r="S642" s="14" t="n"/>
      <c r="T642" s="14" t="n"/>
      <c r="U642" s="14" t="n"/>
    </row>
    <row r="643">
      <c r="H643" s="14" t="n"/>
      <c r="I643" s="14" t="n"/>
      <c r="K643" s="14" t="n"/>
      <c r="L643" s="14" t="n"/>
      <c r="R643" s="14" t="n"/>
      <c r="S643" s="14" t="n"/>
      <c r="T643" s="14" t="n"/>
      <c r="U643" s="14" t="n"/>
    </row>
    <row r="644">
      <c r="H644" s="14" t="n"/>
      <c r="I644" s="14" t="n"/>
      <c r="K644" s="14" t="n"/>
      <c r="L644" s="14" t="n"/>
      <c r="R644" s="14" t="n"/>
      <c r="S644" s="14" t="n"/>
      <c r="T644" s="14" t="n"/>
      <c r="U644" s="14" t="n"/>
    </row>
    <row r="645">
      <c r="H645" s="14" t="n"/>
      <c r="I645" s="14" t="n"/>
      <c r="K645" s="14" t="n"/>
      <c r="L645" s="14" t="n"/>
      <c r="R645" s="14" t="n"/>
      <c r="S645" s="14" t="n"/>
      <c r="T645" s="14" t="n"/>
      <c r="U645" s="14" t="n"/>
    </row>
    <row r="646">
      <c r="H646" s="14" t="n"/>
      <c r="I646" s="14" t="n"/>
      <c r="K646" s="14" t="n"/>
      <c r="L646" s="14" t="n"/>
      <c r="R646" s="14" t="n"/>
      <c r="S646" s="14" t="n"/>
      <c r="T646" s="14" t="n"/>
      <c r="U646" s="14" t="n"/>
    </row>
    <row r="647">
      <c r="H647" s="14" t="n"/>
      <c r="I647" s="14" t="n"/>
      <c r="K647" s="14" t="n"/>
      <c r="L647" s="14" t="n"/>
      <c r="R647" s="14" t="n"/>
      <c r="S647" s="14" t="n"/>
      <c r="T647" s="14" t="n"/>
      <c r="U647" s="14" t="n"/>
    </row>
    <row r="648">
      <c r="H648" s="14" t="n"/>
      <c r="I648" s="14" t="n"/>
      <c r="K648" s="14" t="n"/>
      <c r="L648" s="14" t="n"/>
      <c r="R648" s="14" t="n"/>
      <c r="S648" s="14" t="n"/>
      <c r="T648" s="14" t="n"/>
      <c r="U648" s="14" t="n"/>
    </row>
    <row r="649">
      <c r="H649" s="14" t="n"/>
      <c r="I649" s="14" t="n"/>
      <c r="K649" s="14" t="n"/>
      <c r="L649" s="14" t="n"/>
      <c r="R649" s="14" t="n"/>
      <c r="S649" s="14" t="n"/>
      <c r="T649" s="14" t="n"/>
      <c r="U649" s="14" t="n"/>
    </row>
    <row r="650">
      <c r="H650" s="14" t="n"/>
      <c r="I650" s="14" t="n"/>
      <c r="K650" s="14" t="n"/>
      <c r="L650" s="14" t="n"/>
      <c r="R650" s="14" t="n"/>
      <c r="S650" s="14" t="n"/>
      <c r="T650" s="14" t="n"/>
      <c r="U650" s="14" t="n"/>
    </row>
    <row r="651">
      <c r="H651" s="14" t="n"/>
      <c r="I651" s="14" t="n"/>
      <c r="K651" s="14" t="n"/>
      <c r="L651" s="14" t="n"/>
      <c r="R651" s="14" t="n"/>
      <c r="S651" s="14" t="n"/>
      <c r="T651" s="14" t="n"/>
      <c r="U651" s="14" t="n"/>
    </row>
    <row r="652">
      <c r="H652" s="14" t="n"/>
      <c r="I652" s="14" t="n"/>
      <c r="K652" s="14" t="n"/>
      <c r="L652" s="14" t="n"/>
      <c r="R652" s="14" t="n"/>
      <c r="S652" s="14" t="n"/>
      <c r="T652" s="14" t="n"/>
      <c r="U652" s="14" t="n"/>
    </row>
    <row r="653">
      <c r="H653" s="14" t="n"/>
      <c r="I653" s="14" t="n"/>
      <c r="K653" s="14" t="n"/>
      <c r="L653" s="14" t="n"/>
      <c r="R653" s="14" t="n"/>
      <c r="S653" s="14" t="n"/>
      <c r="T653" s="14" t="n"/>
      <c r="U653" s="14" t="n"/>
    </row>
    <row r="654">
      <c r="H654" s="14" t="n"/>
      <c r="I654" s="14" t="n"/>
      <c r="K654" s="14" t="n"/>
      <c r="L654" s="14" t="n"/>
      <c r="R654" s="14" t="n"/>
      <c r="S654" s="14" t="n"/>
      <c r="T654" s="14" t="n"/>
      <c r="U654" s="14" t="n"/>
    </row>
    <row r="655">
      <c r="H655" s="14" t="n"/>
      <c r="I655" s="14" t="n"/>
      <c r="K655" s="14" t="n"/>
      <c r="L655" s="14" t="n"/>
      <c r="R655" s="14" t="n"/>
      <c r="S655" s="14" t="n"/>
      <c r="T655" s="14" t="n"/>
      <c r="U655" s="14" t="n"/>
    </row>
    <row r="656">
      <c r="H656" s="14" t="n"/>
      <c r="I656" s="14" t="n"/>
      <c r="K656" s="14" t="n"/>
      <c r="L656" s="14" t="n"/>
      <c r="R656" s="14" t="n"/>
      <c r="S656" s="14" t="n"/>
      <c r="T656" s="14" t="n"/>
      <c r="U656" s="14" t="n"/>
    </row>
    <row r="657">
      <c r="H657" s="14" t="n"/>
      <c r="I657" s="14" t="n"/>
      <c r="K657" s="14" t="n"/>
      <c r="L657" s="14" t="n"/>
      <c r="R657" s="14" t="n"/>
      <c r="S657" s="14" t="n"/>
      <c r="T657" s="14" t="n"/>
      <c r="U657" s="14" t="n"/>
    </row>
    <row r="658">
      <c r="H658" s="14" t="n"/>
      <c r="I658" s="14" t="n"/>
      <c r="K658" s="14" t="n"/>
      <c r="L658" s="14" t="n"/>
      <c r="R658" s="14" t="n"/>
      <c r="S658" s="14" t="n"/>
      <c r="T658" s="14" t="n"/>
      <c r="U658" s="14" t="n"/>
    </row>
    <row r="659">
      <c r="H659" s="14" t="n"/>
      <c r="I659" s="14" t="n"/>
      <c r="K659" s="14" t="n"/>
      <c r="L659" s="14" t="n"/>
      <c r="R659" s="14" t="n"/>
      <c r="S659" s="14" t="n"/>
      <c r="T659" s="14" t="n"/>
      <c r="U659" s="14" t="n"/>
    </row>
    <row r="660">
      <c r="H660" s="14" t="n"/>
      <c r="I660" s="14" t="n"/>
      <c r="K660" s="14" t="n"/>
      <c r="L660" s="14" t="n"/>
      <c r="R660" s="14" t="n"/>
      <c r="S660" s="14" t="n"/>
      <c r="T660" s="14" t="n"/>
      <c r="U660" s="14" t="n"/>
    </row>
    <row r="661">
      <c r="H661" s="14" t="n"/>
      <c r="I661" s="14" t="n"/>
      <c r="K661" s="14" t="n"/>
      <c r="L661" s="14" t="n"/>
      <c r="R661" s="14" t="n"/>
      <c r="S661" s="14" t="n"/>
      <c r="T661" s="14" t="n"/>
      <c r="U661" s="14" t="n"/>
    </row>
    <row r="662">
      <c r="H662" s="14" t="n"/>
      <c r="I662" s="14" t="n"/>
      <c r="K662" s="14" t="n"/>
      <c r="L662" s="14" t="n"/>
      <c r="R662" s="14" t="n"/>
      <c r="S662" s="14" t="n"/>
      <c r="T662" s="14" t="n"/>
      <c r="U662" s="14" t="n"/>
    </row>
    <row r="663">
      <c r="H663" s="14" t="n"/>
      <c r="I663" s="14" t="n"/>
      <c r="K663" s="14" t="n"/>
      <c r="L663" s="14" t="n"/>
      <c r="R663" s="14" t="n"/>
      <c r="S663" s="14" t="n"/>
      <c r="T663" s="14" t="n"/>
      <c r="U663" s="14" t="n"/>
    </row>
    <row r="664">
      <c r="H664" s="14" t="n"/>
      <c r="I664" s="14" t="n"/>
      <c r="K664" s="14" t="n"/>
      <c r="L664" s="14" t="n"/>
      <c r="R664" s="14" t="n"/>
      <c r="S664" s="14" t="n"/>
      <c r="T664" s="14" t="n"/>
      <c r="U664" s="14" t="n"/>
    </row>
    <row r="665">
      <c r="H665" s="14" t="n"/>
      <c r="I665" s="14" t="n"/>
      <c r="K665" s="14" t="n"/>
      <c r="L665" s="14" t="n"/>
      <c r="R665" s="14" t="n"/>
      <c r="S665" s="14" t="n"/>
      <c r="T665" s="14" t="n"/>
      <c r="U665" s="14" t="n"/>
    </row>
    <row r="666">
      <c r="H666" s="14" t="n"/>
      <c r="I666" s="14" t="n"/>
      <c r="K666" s="14" t="n"/>
      <c r="L666" s="14" t="n"/>
      <c r="R666" s="14" t="n"/>
      <c r="S666" s="14" t="n"/>
      <c r="T666" s="14" t="n"/>
      <c r="U666" s="14" t="n"/>
    </row>
    <row r="667">
      <c r="H667" s="14" t="n"/>
      <c r="I667" s="14" t="n"/>
      <c r="K667" s="14" t="n"/>
      <c r="L667" s="14" t="n"/>
      <c r="R667" s="14" t="n"/>
      <c r="S667" s="14" t="n"/>
      <c r="T667" s="14" t="n"/>
      <c r="U667" s="14" t="n"/>
    </row>
    <row r="668">
      <c r="H668" s="14" t="n"/>
      <c r="I668" s="14" t="n"/>
      <c r="K668" s="14" t="n"/>
      <c r="L668" s="14" t="n"/>
      <c r="R668" s="14" t="n"/>
      <c r="S668" s="14" t="n"/>
      <c r="T668" s="14" t="n"/>
      <c r="U668" s="14" t="n"/>
    </row>
    <row r="669">
      <c r="H669" s="14" t="n"/>
      <c r="I669" s="14" t="n"/>
      <c r="K669" s="14" t="n"/>
      <c r="L669" s="14" t="n"/>
      <c r="R669" s="14" t="n"/>
      <c r="S669" s="14" t="n"/>
      <c r="T669" s="14" t="n"/>
      <c r="U669" s="14" t="n"/>
    </row>
    <row r="670">
      <c r="H670" s="14" t="n"/>
      <c r="I670" s="14" t="n"/>
      <c r="K670" s="14" t="n"/>
      <c r="L670" s="14" t="n"/>
      <c r="R670" s="14" t="n"/>
      <c r="S670" s="14" t="n"/>
      <c r="T670" s="14" t="n"/>
      <c r="U670" s="14" t="n"/>
    </row>
    <row r="671">
      <c r="H671" s="14" t="n"/>
      <c r="I671" s="14" t="n"/>
      <c r="K671" s="14" t="n"/>
      <c r="L671" s="14" t="n"/>
      <c r="R671" s="14" t="n"/>
      <c r="S671" s="14" t="n"/>
      <c r="T671" s="14" t="n"/>
      <c r="U671" s="14" t="n"/>
    </row>
    <row r="672">
      <c r="H672" s="14" t="n"/>
      <c r="I672" s="14" t="n"/>
      <c r="K672" s="14" t="n"/>
      <c r="L672" s="14" t="n"/>
      <c r="R672" s="14" t="n"/>
      <c r="S672" s="14" t="n"/>
      <c r="T672" s="14" t="n"/>
      <c r="U672" s="14" t="n"/>
    </row>
    <row r="673">
      <c r="H673" s="14" t="n"/>
      <c r="I673" s="14" t="n"/>
      <c r="K673" s="14" t="n"/>
      <c r="L673" s="14" t="n"/>
      <c r="R673" s="14" t="n"/>
      <c r="S673" s="14" t="n"/>
      <c r="T673" s="14" t="n"/>
      <c r="U673" s="14" t="n"/>
    </row>
    <row r="674">
      <c r="H674" s="14" t="n"/>
      <c r="I674" s="14" t="n"/>
      <c r="K674" s="14" t="n"/>
      <c r="L674" s="14" t="n"/>
      <c r="R674" s="14" t="n"/>
      <c r="S674" s="14" t="n"/>
      <c r="T674" s="14" t="n"/>
      <c r="U674" s="14" t="n"/>
    </row>
    <row r="675">
      <c r="H675" s="14" t="n"/>
      <c r="I675" s="14" t="n"/>
      <c r="K675" s="14" t="n"/>
      <c r="L675" s="14" t="n"/>
      <c r="R675" s="14" t="n"/>
      <c r="S675" s="14" t="n"/>
      <c r="T675" s="14" t="n"/>
      <c r="U675" s="14" t="n"/>
    </row>
    <row r="676">
      <c r="H676" s="14" t="n"/>
      <c r="I676" s="14" t="n"/>
      <c r="K676" s="14" t="n"/>
      <c r="L676" s="14" t="n"/>
      <c r="R676" s="14" t="n"/>
      <c r="S676" s="14" t="n"/>
      <c r="T676" s="14" t="n"/>
      <c r="U676" s="14" t="n"/>
    </row>
    <row r="677">
      <c r="H677" s="14" t="n"/>
      <c r="I677" s="14" t="n"/>
      <c r="K677" s="14" t="n"/>
      <c r="L677" s="14" t="n"/>
      <c r="R677" s="14" t="n"/>
      <c r="S677" s="14" t="n"/>
      <c r="T677" s="14" t="n"/>
      <c r="U677" s="14" t="n"/>
    </row>
    <row r="678">
      <c r="H678" s="14" t="n"/>
      <c r="I678" s="14" t="n"/>
      <c r="K678" s="14" t="n"/>
      <c r="L678" s="14" t="n"/>
      <c r="R678" s="14" t="n"/>
      <c r="S678" s="14" t="n"/>
      <c r="T678" s="14" t="n"/>
      <c r="U678" s="14" t="n"/>
    </row>
    <row r="679">
      <c r="H679" s="14" t="n"/>
      <c r="I679" s="14" t="n"/>
      <c r="K679" s="14" t="n"/>
      <c r="L679" s="14" t="n"/>
      <c r="R679" s="14" t="n"/>
      <c r="S679" s="14" t="n"/>
      <c r="T679" s="14" t="n"/>
      <c r="U679" s="14" t="n"/>
    </row>
    <row r="680">
      <c r="H680" s="14" t="n"/>
      <c r="I680" s="14" t="n"/>
      <c r="K680" s="14" t="n"/>
      <c r="L680" s="14" t="n"/>
      <c r="R680" s="14" t="n"/>
      <c r="S680" s="14" t="n"/>
      <c r="T680" s="14" t="n"/>
      <c r="U680" s="14" t="n"/>
    </row>
    <row r="681">
      <c r="H681" s="14" t="n"/>
      <c r="I681" s="14" t="n"/>
      <c r="K681" s="14" t="n"/>
      <c r="L681" s="14" t="n"/>
      <c r="R681" s="14" t="n"/>
      <c r="S681" s="14" t="n"/>
      <c r="T681" s="14" t="n"/>
      <c r="U681" s="14" t="n"/>
    </row>
    <row r="682">
      <c r="H682" s="14" t="n"/>
      <c r="I682" s="14" t="n"/>
      <c r="K682" s="14" t="n"/>
      <c r="L682" s="14" t="n"/>
      <c r="R682" s="14" t="n"/>
      <c r="S682" s="14" t="n"/>
      <c r="T682" s="14" t="n"/>
      <c r="U682" s="14" t="n"/>
    </row>
    <row r="683">
      <c r="H683" s="14" t="n"/>
      <c r="I683" s="14" t="n"/>
      <c r="K683" s="14" t="n"/>
      <c r="L683" s="14" t="n"/>
      <c r="R683" s="14" t="n"/>
      <c r="S683" s="14" t="n"/>
      <c r="T683" s="14" t="n"/>
      <c r="U683" s="14" t="n"/>
    </row>
    <row r="684">
      <c r="H684" s="14" t="n"/>
      <c r="I684" s="14" t="n"/>
      <c r="K684" s="14" t="n"/>
      <c r="L684" s="14" t="n"/>
      <c r="R684" s="14" t="n"/>
      <c r="S684" s="14" t="n"/>
      <c r="T684" s="14" t="n"/>
      <c r="U684" s="14" t="n"/>
    </row>
    <row r="685">
      <c r="H685" s="14" t="n"/>
      <c r="I685" s="14" t="n"/>
      <c r="K685" s="14" t="n"/>
      <c r="L685" s="14" t="n"/>
      <c r="R685" s="14" t="n"/>
      <c r="S685" s="14" t="n"/>
      <c r="T685" s="14" t="n"/>
      <c r="U685" s="14" t="n"/>
    </row>
    <row r="686">
      <c r="H686" s="14" t="n"/>
      <c r="I686" s="14" t="n"/>
      <c r="K686" s="14" t="n"/>
      <c r="L686" s="14" t="n"/>
      <c r="R686" s="14" t="n"/>
      <c r="S686" s="14" t="n"/>
      <c r="T686" s="14" t="n"/>
      <c r="U686" s="14" t="n"/>
    </row>
    <row r="687">
      <c r="H687" s="14" t="n"/>
      <c r="I687" s="14" t="n"/>
      <c r="K687" s="14" t="n"/>
      <c r="L687" s="14" t="n"/>
      <c r="R687" s="14" t="n"/>
      <c r="S687" s="14" t="n"/>
      <c r="T687" s="14" t="n"/>
      <c r="U687" s="14" t="n"/>
    </row>
    <row r="688">
      <c r="H688" s="14" t="n"/>
      <c r="I688" s="14" t="n"/>
      <c r="K688" s="14" t="n"/>
      <c r="L688" s="14" t="n"/>
      <c r="R688" s="14" t="n"/>
      <c r="S688" s="14" t="n"/>
      <c r="T688" s="14" t="n"/>
      <c r="U688" s="14" t="n"/>
    </row>
    <row r="689">
      <c r="H689" s="14" t="n"/>
      <c r="I689" s="14" t="n"/>
      <c r="K689" s="14" t="n"/>
      <c r="L689" s="14" t="n"/>
      <c r="R689" s="14" t="n"/>
      <c r="S689" s="14" t="n"/>
      <c r="T689" s="14" t="n"/>
      <c r="U689" s="14" t="n"/>
    </row>
    <row r="690">
      <c r="H690" s="14" t="n"/>
      <c r="I690" s="14" t="n"/>
      <c r="K690" s="14" t="n"/>
      <c r="L690" s="14" t="n"/>
      <c r="R690" s="14" t="n"/>
      <c r="S690" s="14" t="n"/>
      <c r="T690" s="14" t="n"/>
      <c r="U690" s="14" t="n"/>
    </row>
    <row r="691">
      <c r="H691" s="14" t="n"/>
      <c r="I691" s="14" t="n"/>
      <c r="K691" s="14" t="n"/>
      <c r="L691" s="14" t="n"/>
      <c r="R691" s="14" t="n"/>
      <c r="S691" s="14" t="n"/>
      <c r="T691" s="14" t="n"/>
      <c r="U691" s="14" t="n"/>
    </row>
    <row r="692">
      <c r="H692" s="14" t="n"/>
      <c r="I692" s="14" t="n"/>
      <c r="K692" s="14" t="n"/>
      <c r="L692" s="14" t="n"/>
      <c r="R692" s="14" t="n"/>
      <c r="S692" s="14" t="n"/>
      <c r="T692" s="14" t="n"/>
      <c r="U692" s="14" t="n"/>
    </row>
    <row r="693">
      <c r="H693" s="14" t="n"/>
      <c r="I693" s="14" t="n"/>
      <c r="K693" s="14" t="n"/>
      <c r="L693" s="14" t="n"/>
      <c r="R693" s="14" t="n"/>
      <c r="S693" s="14" t="n"/>
      <c r="T693" s="14" t="n"/>
      <c r="U693" s="14" t="n"/>
    </row>
    <row r="694">
      <c r="H694" s="14" t="n"/>
      <c r="I694" s="14" t="n"/>
      <c r="K694" s="14" t="n"/>
      <c r="L694" s="14" t="n"/>
      <c r="R694" s="14" t="n"/>
      <c r="S694" s="14" t="n"/>
      <c r="T694" s="14" t="n"/>
      <c r="U694" s="14" t="n"/>
    </row>
    <row r="695">
      <c r="H695" s="14" t="n"/>
      <c r="I695" s="14" t="n"/>
      <c r="K695" s="14" t="n"/>
      <c r="L695" s="14" t="n"/>
      <c r="R695" s="14" t="n"/>
      <c r="S695" s="14" t="n"/>
      <c r="T695" s="14" t="n"/>
      <c r="U695" s="14" t="n"/>
    </row>
    <row r="696">
      <c r="H696" s="14" t="n"/>
      <c r="I696" s="14" t="n"/>
      <c r="K696" s="14" t="n"/>
      <c r="L696" s="14" t="n"/>
      <c r="R696" s="14" t="n"/>
      <c r="S696" s="14" t="n"/>
      <c r="T696" s="14" t="n"/>
      <c r="U696" s="14" t="n"/>
    </row>
    <row r="697">
      <c r="H697" s="14" t="n"/>
      <c r="I697" s="14" t="n"/>
      <c r="K697" s="14" t="n"/>
      <c r="L697" s="14" t="n"/>
      <c r="R697" s="14" t="n"/>
      <c r="S697" s="14" t="n"/>
      <c r="T697" s="14" t="n"/>
      <c r="U697" s="14" t="n"/>
    </row>
    <row r="698">
      <c r="H698" s="14" t="n"/>
      <c r="I698" s="14" t="n"/>
      <c r="K698" s="14" t="n"/>
      <c r="L698" s="14" t="n"/>
      <c r="R698" s="14" t="n"/>
      <c r="S698" s="14" t="n"/>
      <c r="T698" s="14" t="n"/>
      <c r="U698" s="14" t="n"/>
    </row>
    <row r="699">
      <c r="H699" s="14" t="n"/>
      <c r="I699" s="14" t="n"/>
      <c r="K699" s="14" t="n"/>
      <c r="L699" s="14" t="n"/>
      <c r="R699" s="14" t="n"/>
      <c r="S699" s="14" t="n"/>
      <c r="T699" s="14" t="n"/>
      <c r="U699" s="14" t="n"/>
    </row>
    <row r="700">
      <c r="H700" s="14" t="n"/>
      <c r="I700" s="14" t="n"/>
      <c r="K700" s="14" t="n"/>
      <c r="L700" s="14" t="n"/>
      <c r="R700" s="14" t="n"/>
      <c r="S700" s="14" t="n"/>
      <c r="T700" s="14" t="n"/>
      <c r="U700" s="14" t="n"/>
    </row>
    <row r="701">
      <c r="H701" s="14" t="n"/>
      <c r="I701" s="14" t="n"/>
      <c r="K701" s="14" t="n"/>
      <c r="L701" s="14" t="n"/>
      <c r="R701" s="14" t="n"/>
      <c r="S701" s="14" t="n"/>
      <c r="T701" s="14" t="n"/>
      <c r="U701" s="14" t="n"/>
    </row>
    <row r="702">
      <c r="H702" s="14" t="n"/>
      <c r="I702" s="14" t="n"/>
      <c r="K702" s="14" t="n"/>
      <c r="L702" s="14" t="n"/>
      <c r="R702" s="14" t="n"/>
      <c r="S702" s="14" t="n"/>
      <c r="T702" s="14" t="n"/>
      <c r="U702" s="14" t="n"/>
    </row>
    <row r="703">
      <c r="H703" s="14" t="n"/>
      <c r="I703" s="14" t="n"/>
      <c r="K703" s="14" t="n"/>
      <c r="L703" s="14" t="n"/>
      <c r="R703" s="14" t="n"/>
      <c r="S703" s="14" t="n"/>
      <c r="T703" s="14" t="n"/>
      <c r="U703" s="14" t="n"/>
    </row>
    <row r="704">
      <c r="H704" s="14" t="n"/>
      <c r="I704" s="14" t="n"/>
      <c r="K704" s="14" t="n"/>
      <c r="L704" s="14" t="n"/>
      <c r="R704" s="14" t="n"/>
      <c r="S704" s="14" t="n"/>
      <c r="T704" s="14" t="n"/>
      <c r="U704" s="14" t="n"/>
    </row>
    <row r="705">
      <c r="H705" s="14" t="n"/>
      <c r="I705" s="14" t="n"/>
      <c r="K705" s="14" t="n"/>
      <c r="L705" s="14" t="n"/>
      <c r="R705" s="14" t="n"/>
      <c r="S705" s="14" t="n"/>
      <c r="T705" s="14" t="n"/>
      <c r="U705" s="14" t="n"/>
    </row>
    <row r="706">
      <c r="H706" s="14" t="n"/>
      <c r="I706" s="14" t="n"/>
      <c r="K706" s="14" t="n"/>
      <c r="L706" s="14" t="n"/>
      <c r="R706" s="14" t="n"/>
      <c r="S706" s="14" t="n"/>
      <c r="T706" s="14" t="n"/>
      <c r="U706" s="14" t="n"/>
    </row>
    <row r="707">
      <c r="H707" s="14" t="n"/>
      <c r="I707" s="14" t="n"/>
      <c r="K707" s="14" t="n"/>
      <c r="L707" s="14" t="n"/>
      <c r="R707" s="14" t="n"/>
      <c r="S707" s="14" t="n"/>
      <c r="T707" s="14" t="n"/>
      <c r="U707" s="14" t="n"/>
    </row>
    <row r="708">
      <c r="H708" s="14" t="n"/>
      <c r="I708" s="14" t="n"/>
      <c r="K708" s="14" t="n"/>
      <c r="L708" s="14" t="n"/>
      <c r="R708" s="14" t="n"/>
      <c r="S708" s="14" t="n"/>
      <c r="T708" s="14" t="n"/>
      <c r="U708" s="14" t="n"/>
    </row>
    <row r="709">
      <c r="H709" s="14" t="n"/>
      <c r="I709" s="14" t="n"/>
      <c r="K709" s="14" t="n"/>
      <c r="L709" s="14" t="n"/>
      <c r="R709" s="14" t="n"/>
      <c r="S709" s="14" t="n"/>
      <c r="T709" s="14" t="n"/>
      <c r="U709" s="14" t="n"/>
    </row>
    <row r="710">
      <c r="H710" s="14" t="n"/>
      <c r="I710" s="14" t="n"/>
      <c r="K710" s="14" t="n"/>
      <c r="L710" s="14" t="n"/>
      <c r="R710" s="14" t="n"/>
      <c r="S710" s="14" t="n"/>
      <c r="T710" s="14" t="n"/>
      <c r="U710" s="14" t="n"/>
    </row>
    <row r="711">
      <c r="H711" s="14" t="n"/>
      <c r="I711" s="14" t="n"/>
      <c r="K711" s="14" t="n"/>
      <c r="L711" s="14" t="n"/>
      <c r="R711" s="14" t="n"/>
      <c r="S711" s="14" t="n"/>
      <c r="T711" s="14" t="n"/>
      <c r="U711" s="14" t="n"/>
    </row>
    <row r="712">
      <c r="H712" s="14" t="n"/>
      <c r="I712" s="14" t="n"/>
      <c r="K712" s="14" t="n"/>
      <c r="L712" s="14" t="n"/>
      <c r="R712" s="14" t="n"/>
      <c r="S712" s="14" t="n"/>
      <c r="T712" s="14" t="n"/>
      <c r="U712" s="14" t="n"/>
    </row>
    <row r="713">
      <c r="H713" s="14" t="n"/>
      <c r="I713" s="14" t="n"/>
      <c r="K713" s="14" t="n"/>
      <c r="L713" s="14" t="n"/>
      <c r="R713" s="14" t="n"/>
      <c r="S713" s="14" t="n"/>
      <c r="T713" s="14" t="n"/>
      <c r="U713" s="14" t="n"/>
    </row>
    <row r="714">
      <c r="H714" s="14" t="n"/>
      <c r="I714" s="14" t="n"/>
      <c r="K714" s="14" t="n"/>
      <c r="L714" s="14" t="n"/>
      <c r="R714" s="14" t="n"/>
      <c r="S714" s="14" t="n"/>
      <c r="T714" s="14" t="n"/>
      <c r="U714" s="14" t="n"/>
    </row>
    <row r="715">
      <c r="H715" s="14" t="n"/>
      <c r="I715" s="14" t="n"/>
      <c r="K715" s="14" t="n"/>
      <c r="L715" s="14" t="n"/>
      <c r="R715" s="14" t="n"/>
      <c r="S715" s="14" t="n"/>
      <c r="T715" s="14" t="n"/>
      <c r="U715" s="14" t="n"/>
    </row>
    <row r="716">
      <c r="H716" s="14" t="n"/>
      <c r="I716" s="14" t="n"/>
      <c r="K716" s="14" t="n"/>
      <c r="L716" s="14" t="n"/>
      <c r="R716" s="14" t="n"/>
      <c r="S716" s="14" t="n"/>
      <c r="T716" s="14" t="n"/>
      <c r="U716" s="14" t="n"/>
    </row>
    <row r="717">
      <c r="H717" s="14" t="n"/>
      <c r="I717" s="14" t="n"/>
      <c r="K717" s="14" t="n"/>
      <c r="L717" s="14" t="n"/>
      <c r="R717" s="14" t="n"/>
      <c r="S717" s="14" t="n"/>
      <c r="T717" s="14" t="n"/>
      <c r="U717" s="14" t="n"/>
    </row>
    <row r="718">
      <c r="H718" s="14" t="n"/>
      <c r="I718" s="14" t="n"/>
      <c r="K718" s="14" t="n"/>
      <c r="L718" s="14" t="n"/>
      <c r="R718" s="14" t="n"/>
      <c r="S718" s="14" t="n"/>
      <c r="T718" s="14" t="n"/>
      <c r="U718" s="14" t="n"/>
    </row>
    <row r="719">
      <c r="H719" s="14" t="n"/>
      <c r="I719" s="14" t="n"/>
      <c r="K719" s="14" t="n"/>
      <c r="L719" s="14" t="n"/>
      <c r="R719" s="14" t="n"/>
      <c r="S719" s="14" t="n"/>
      <c r="T719" s="14" t="n"/>
      <c r="U719" s="14" t="n"/>
    </row>
    <row r="720">
      <c r="H720" s="14" t="n"/>
      <c r="I720" s="14" t="n"/>
      <c r="K720" s="14" t="n"/>
      <c r="L720" s="14" t="n"/>
      <c r="R720" s="14" t="n"/>
      <c r="S720" s="14" t="n"/>
      <c r="T720" s="14" t="n"/>
      <c r="U720" s="14" t="n"/>
    </row>
    <row r="721">
      <c r="H721" s="14" t="n"/>
      <c r="I721" s="14" t="n"/>
      <c r="K721" s="14" t="n"/>
      <c r="L721" s="14" t="n"/>
      <c r="R721" s="14" t="n"/>
      <c r="S721" s="14" t="n"/>
      <c r="T721" s="14" t="n"/>
      <c r="U721" s="14" t="n"/>
    </row>
    <row r="722">
      <c r="H722" s="14" t="n"/>
      <c r="I722" s="14" t="n"/>
      <c r="K722" s="14" t="n"/>
      <c r="L722" s="14" t="n"/>
      <c r="R722" s="14" t="n"/>
      <c r="S722" s="14" t="n"/>
      <c r="T722" s="14" t="n"/>
      <c r="U722" s="14" t="n"/>
    </row>
    <row r="723">
      <c r="H723" s="14" t="n"/>
      <c r="I723" s="14" t="n"/>
      <c r="K723" s="14" t="n"/>
      <c r="L723" s="14" t="n"/>
      <c r="R723" s="14" t="n"/>
      <c r="S723" s="14" t="n"/>
      <c r="T723" s="14" t="n"/>
      <c r="U723" s="14" t="n"/>
    </row>
    <row r="724">
      <c r="H724" s="14" t="n"/>
      <c r="I724" s="14" t="n"/>
      <c r="K724" s="14" t="n"/>
      <c r="L724" s="14" t="n"/>
      <c r="R724" s="14" t="n"/>
      <c r="S724" s="14" t="n"/>
      <c r="T724" s="14" t="n"/>
      <c r="U724" s="14" t="n"/>
    </row>
    <row r="725">
      <c r="H725" s="14" t="n"/>
      <c r="I725" s="14" t="n"/>
      <c r="K725" s="14" t="n"/>
      <c r="L725" s="14" t="n"/>
      <c r="R725" s="14" t="n"/>
      <c r="S725" s="14" t="n"/>
      <c r="T725" s="14" t="n"/>
      <c r="U725" s="14" t="n"/>
    </row>
    <row r="726">
      <c r="H726" s="14" t="n"/>
      <c r="I726" s="14" t="n"/>
      <c r="K726" s="14" t="n"/>
      <c r="L726" s="14" t="n"/>
      <c r="R726" s="14" t="n"/>
      <c r="S726" s="14" t="n"/>
      <c r="T726" s="14" t="n"/>
      <c r="U726" s="14" t="n"/>
    </row>
    <row r="727">
      <c r="H727" s="14" t="n"/>
      <c r="I727" s="14" t="n"/>
      <c r="K727" s="14" t="n"/>
      <c r="L727" s="14" t="n"/>
      <c r="R727" s="14" t="n"/>
      <c r="S727" s="14" t="n"/>
      <c r="T727" s="14" t="n"/>
      <c r="U727" s="14" t="n"/>
    </row>
    <row r="728">
      <c r="H728" s="14" t="n"/>
      <c r="I728" s="14" t="n"/>
      <c r="K728" s="14" t="n"/>
      <c r="L728" s="14" t="n"/>
      <c r="R728" s="14" t="n"/>
      <c r="S728" s="14" t="n"/>
      <c r="T728" s="14" t="n"/>
      <c r="U728" s="14" t="n"/>
    </row>
    <row r="729">
      <c r="H729" s="14" t="n"/>
      <c r="I729" s="14" t="n"/>
      <c r="K729" s="14" t="n"/>
      <c r="L729" s="14" t="n"/>
      <c r="R729" s="14" t="n"/>
      <c r="S729" s="14" t="n"/>
      <c r="T729" s="14" t="n"/>
      <c r="U729" s="14" t="n"/>
    </row>
    <row r="730">
      <c r="H730" s="14" t="n"/>
      <c r="I730" s="14" t="n"/>
      <c r="K730" s="14" t="n"/>
      <c r="L730" s="14" t="n"/>
      <c r="R730" s="14" t="n"/>
      <c r="S730" s="14" t="n"/>
      <c r="T730" s="14" t="n"/>
      <c r="U730" s="14" t="n"/>
    </row>
    <row r="731">
      <c r="H731" s="14" t="n"/>
      <c r="I731" s="14" t="n"/>
      <c r="K731" s="14" t="n"/>
      <c r="L731" s="14" t="n"/>
      <c r="R731" s="14" t="n"/>
      <c r="S731" s="14" t="n"/>
      <c r="T731" s="14" t="n"/>
      <c r="U731" s="14" t="n"/>
    </row>
    <row r="732">
      <c r="H732" s="14" t="n"/>
      <c r="I732" s="14" t="n"/>
      <c r="K732" s="14" t="n"/>
      <c r="L732" s="14" t="n"/>
      <c r="R732" s="14" t="n"/>
      <c r="S732" s="14" t="n"/>
      <c r="T732" s="14" t="n"/>
      <c r="U732" s="14" t="n"/>
    </row>
    <row r="733">
      <c r="H733" s="14" t="n"/>
      <c r="I733" s="14" t="n"/>
      <c r="K733" s="14" t="n"/>
      <c r="L733" s="14" t="n"/>
      <c r="R733" s="14" t="n"/>
      <c r="S733" s="14" t="n"/>
      <c r="T733" s="14" t="n"/>
      <c r="U733" s="14" t="n"/>
    </row>
    <row r="734">
      <c r="H734" s="14" t="n"/>
      <c r="I734" s="14" t="n"/>
      <c r="K734" s="14" t="n"/>
      <c r="L734" s="14" t="n"/>
      <c r="R734" s="14" t="n"/>
      <c r="S734" s="14" t="n"/>
      <c r="T734" s="14" t="n"/>
      <c r="U734" s="14" t="n"/>
    </row>
    <row r="735">
      <c r="H735" s="14" t="n"/>
      <c r="I735" s="14" t="n"/>
      <c r="K735" s="14" t="n"/>
      <c r="L735" s="14" t="n"/>
      <c r="R735" s="14" t="n"/>
      <c r="S735" s="14" t="n"/>
      <c r="T735" s="14" t="n"/>
      <c r="U735" s="14" t="n"/>
    </row>
    <row r="736">
      <c r="H736" s="14" t="n"/>
      <c r="I736" s="14" t="n"/>
      <c r="K736" s="14" t="n"/>
      <c r="L736" s="14" t="n"/>
      <c r="R736" s="14" t="n"/>
      <c r="S736" s="14" t="n"/>
      <c r="T736" s="14" t="n"/>
      <c r="U736" s="14" t="n"/>
    </row>
    <row r="737">
      <c r="H737" s="14" t="n"/>
      <c r="I737" s="14" t="n"/>
      <c r="K737" s="14" t="n"/>
      <c r="L737" s="14" t="n"/>
      <c r="R737" s="14" t="n"/>
      <c r="S737" s="14" t="n"/>
      <c r="T737" s="14" t="n"/>
      <c r="U737" s="14" t="n"/>
    </row>
    <row r="738">
      <c r="H738" s="14" t="n"/>
      <c r="I738" s="14" t="n"/>
      <c r="K738" s="14" t="n"/>
      <c r="L738" s="14" t="n"/>
      <c r="R738" s="14" t="n"/>
      <c r="S738" s="14" t="n"/>
      <c r="T738" s="14" t="n"/>
      <c r="U738" s="14" t="n"/>
    </row>
    <row r="739">
      <c r="H739" s="14" t="n"/>
      <c r="I739" s="14" t="n"/>
      <c r="K739" s="14" t="n"/>
      <c r="L739" s="14" t="n"/>
      <c r="R739" s="14" t="n"/>
      <c r="S739" s="14" t="n"/>
      <c r="T739" s="14" t="n"/>
      <c r="U739" s="14" t="n"/>
    </row>
    <row r="740">
      <c r="H740" s="14" t="n"/>
      <c r="I740" s="14" t="n"/>
      <c r="K740" s="14" t="n"/>
      <c r="L740" s="14" t="n"/>
      <c r="R740" s="14" t="n"/>
      <c r="S740" s="14" t="n"/>
      <c r="T740" s="14" t="n"/>
      <c r="U740" s="14" t="n"/>
    </row>
    <row r="741">
      <c r="H741" s="14" t="n"/>
      <c r="I741" s="14" t="n"/>
      <c r="K741" s="14" t="n"/>
      <c r="L741" s="14" t="n"/>
      <c r="R741" s="14" t="n"/>
      <c r="S741" s="14" t="n"/>
      <c r="T741" s="14" t="n"/>
      <c r="U741" s="14" t="n"/>
    </row>
    <row r="742">
      <c r="H742" s="14" t="n"/>
      <c r="I742" s="14" t="n"/>
      <c r="K742" s="14" t="n"/>
      <c r="L742" s="14" t="n"/>
      <c r="R742" s="14" t="n"/>
      <c r="S742" s="14" t="n"/>
      <c r="T742" s="14" t="n"/>
      <c r="U742" s="14" t="n"/>
    </row>
    <row r="743">
      <c r="H743" s="14" t="n"/>
      <c r="I743" s="14" t="n"/>
      <c r="K743" s="14" t="n"/>
      <c r="L743" s="14" t="n"/>
      <c r="R743" s="14" t="n"/>
      <c r="S743" s="14" t="n"/>
      <c r="T743" s="14" t="n"/>
      <c r="U743" s="14" t="n"/>
    </row>
    <row r="744">
      <c r="H744" s="14" t="n"/>
      <c r="I744" s="14" t="n"/>
      <c r="K744" s="14" t="n"/>
      <c r="L744" s="14" t="n"/>
      <c r="R744" s="14" t="n"/>
      <c r="S744" s="14" t="n"/>
      <c r="T744" s="14" t="n"/>
      <c r="U744" s="14" t="n"/>
    </row>
    <row r="745">
      <c r="H745" s="14" t="n"/>
      <c r="I745" s="14" t="n"/>
      <c r="K745" s="14" t="n"/>
      <c r="L745" s="14" t="n"/>
      <c r="R745" s="14" t="n"/>
      <c r="S745" s="14" t="n"/>
      <c r="T745" s="14" t="n"/>
      <c r="U745" s="14" t="n"/>
    </row>
    <row r="746">
      <c r="H746" s="14" t="n"/>
      <c r="I746" s="14" t="n"/>
      <c r="K746" s="14" t="n"/>
      <c r="L746" s="14" t="n"/>
      <c r="R746" s="14" t="n"/>
      <c r="S746" s="14" t="n"/>
      <c r="T746" s="14" t="n"/>
      <c r="U746" s="14" t="n"/>
    </row>
    <row r="747">
      <c r="H747" s="14" t="n"/>
      <c r="I747" s="14" t="n"/>
      <c r="K747" s="14" t="n"/>
      <c r="L747" s="14" t="n"/>
      <c r="R747" s="14" t="n"/>
      <c r="S747" s="14" t="n"/>
      <c r="T747" s="14" t="n"/>
      <c r="U747" s="14" t="n"/>
    </row>
    <row r="748">
      <c r="H748" s="14" t="n"/>
      <c r="I748" s="14" t="n"/>
      <c r="K748" s="14" t="n"/>
      <c r="L748" s="14" t="n"/>
      <c r="R748" s="14" t="n"/>
      <c r="S748" s="14" t="n"/>
      <c r="T748" s="14" t="n"/>
      <c r="U748" s="14" t="n"/>
    </row>
    <row r="749">
      <c r="H749" s="14" t="n"/>
      <c r="I749" s="14" t="n"/>
      <c r="K749" s="14" t="n"/>
      <c r="L749" s="14" t="n"/>
      <c r="R749" s="14" t="n"/>
      <c r="S749" s="14" t="n"/>
      <c r="T749" s="14" t="n"/>
      <c r="U749" s="14" t="n"/>
    </row>
    <row r="750">
      <c r="H750" s="14" t="n"/>
      <c r="I750" s="14" t="n"/>
      <c r="K750" s="14" t="n"/>
      <c r="L750" s="14" t="n"/>
      <c r="R750" s="14" t="n"/>
      <c r="S750" s="14" t="n"/>
      <c r="T750" s="14" t="n"/>
      <c r="U750" s="14" t="n"/>
    </row>
    <row r="751">
      <c r="H751" s="14" t="n"/>
      <c r="I751" s="14" t="n"/>
      <c r="K751" s="14" t="n"/>
      <c r="L751" s="14" t="n"/>
      <c r="R751" s="14" t="n"/>
      <c r="S751" s="14" t="n"/>
      <c r="T751" s="14" t="n"/>
      <c r="U751" s="14" t="n"/>
    </row>
    <row r="752">
      <c r="H752" s="14" t="n"/>
      <c r="I752" s="14" t="n"/>
      <c r="K752" s="14" t="n"/>
      <c r="L752" s="14" t="n"/>
      <c r="R752" s="14" t="n"/>
      <c r="S752" s="14" t="n"/>
      <c r="T752" s="14" t="n"/>
      <c r="U752" s="14" t="n"/>
    </row>
    <row r="753">
      <c r="H753" s="14" t="n"/>
      <c r="I753" s="14" t="n"/>
      <c r="K753" s="14" t="n"/>
      <c r="L753" s="14" t="n"/>
      <c r="R753" s="14" t="n"/>
      <c r="S753" s="14" t="n"/>
      <c r="T753" s="14" t="n"/>
      <c r="U753" s="14" t="n"/>
    </row>
    <row r="754">
      <c r="H754" s="14" t="n"/>
      <c r="I754" s="14" t="n"/>
      <c r="K754" s="14" t="n"/>
      <c r="L754" s="14" t="n"/>
      <c r="R754" s="14" t="n"/>
      <c r="S754" s="14" t="n"/>
      <c r="T754" s="14" t="n"/>
      <c r="U754" s="14" t="n"/>
    </row>
    <row r="755">
      <c r="H755" s="14" t="n"/>
      <c r="I755" s="14" t="n"/>
      <c r="K755" s="14" t="n"/>
      <c r="L755" s="14" t="n"/>
      <c r="R755" s="14" t="n"/>
      <c r="S755" s="14" t="n"/>
      <c r="T755" s="14" t="n"/>
      <c r="U755" s="14" t="n"/>
    </row>
    <row r="756">
      <c r="H756" s="14" t="n"/>
      <c r="I756" s="14" t="n"/>
      <c r="K756" s="14" t="n"/>
      <c r="L756" s="14" t="n"/>
      <c r="R756" s="14" t="n"/>
      <c r="S756" s="14" t="n"/>
      <c r="T756" s="14" t="n"/>
      <c r="U756" s="14" t="n"/>
    </row>
    <row r="757">
      <c r="H757" s="14" t="n"/>
      <c r="I757" s="14" t="n"/>
      <c r="K757" s="14" t="n"/>
      <c r="L757" s="14" t="n"/>
      <c r="R757" s="14" t="n"/>
      <c r="S757" s="14" t="n"/>
      <c r="T757" s="14" t="n"/>
      <c r="U757" s="14" t="n"/>
    </row>
    <row r="758">
      <c r="H758" s="14" t="n"/>
      <c r="I758" s="14" t="n"/>
      <c r="K758" s="14" t="n"/>
      <c r="L758" s="14" t="n"/>
      <c r="R758" s="14" t="n"/>
      <c r="S758" s="14" t="n"/>
      <c r="T758" s="14" t="n"/>
      <c r="U758" s="14" t="n"/>
    </row>
    <row r="759">
      <c r="H759" s="14" t="n"/>
      <c r="I759" s="14" t="n"/>
      <c r="K759" s="14" t="n"/>
      <c r="L759" s="14" t="n"/>
      <c r="R759" s="14" t="n"/>
      <c r="S759" s="14" t="n"/>
      <c r="T759" s="14" t="n"/>
      <c r="U759" s="14" t="n"/>
    </row>
    <row r="760">
      <c r="H760" s="14" t="n"/>
      <c r="I760" s="14" t="n"/>
      <c r="K760" s="14" t="n"/>
      <c r="L760" s="14" t="n"/>
      <c r="R760" s="14" t="n"/>
      <c r="S760" s="14" t="n"/>
      <c r="T760" s="14" t="n"/>
      <c r="U760" s="14" t="n"/>
    </row>
    <row r="761">
      <c r="H761" s="14" t="n"/>
      <c r="I761" s="14" t="n"/>
      <c r="K761" s="14" t="n"/>
      <c r="L761" s="14" t="n"/>
      <c r="R761" s="14" t="n"/>
      <c r="S761" s="14" t="n"/>
      <c r="T761" s="14" t="n"/>
      <c r="U761" s="14" t="n"/>
    </row>
    <row r="762">
      <c r="H762" s="14" t="n"/>
      <c r="I762" s="14" t="n"/>
      <c r="K762" s="14" t="n"/>
      <c r="L762" s="14" t="n"/>
      <c r="R762" s="14" t="n"/>
      <c r="S762" s="14" t="n"/>
      <c r="T762" s="14" t="n"/>
      <c r="U762" s="14" t="n"/>
    </row>
    <row r="763">
      <c r="H763" s="14" t="n"/>
      <c r="I763" s="14" t="n"/>
      <c r="K763" s="14" t="n"/>
      <c r="L763" s="14" t="n"/>
      <c r="R763" s="14" t="n"/>
      <c r="S763" s="14" t="n"/>
      <c r="T763" s="14" t="n"/>
      <c r="U763" s="14" t="n"/>
    </row>
    <row r="764">
      <c r="H764" s="14" t="n"/>
      <c r="I764" s="14" t="n"/>
      <c r="K764" s="14" t="n"/>
      <c r="L764" s="14" t="n"/>
      <c r="R764" s="14" t="n"/>
      <c r="S764" s="14" t="n"/>
      <c r="T764" s="14" t="n"/>
      <c r="U764" s="14" t="n"/>
    </row>
    <row r="765">
      <c r="H765" s="14" t="n"/>
      <c r="I765" s="14" t="n"/>
      <c r="K765" s="14" t="n"/>
      <c r="L765" s="14" t="n"/>
      <c r="R765" s="14" t="n"/>
      <c r="S765" s="14" t="n"/>
      <c r="T765" s="14" t="n"/>
      <c r="U765" s="14" t="n"/>
    </row>
    <row r="766">
      <c r="H766" s="14" t="n"/>
      <c r="I766" s="14" t="n"/>
      <c r="K766" s="14" t="n"/>
      <c r="L766" s="14" t="n"/>
      <c r="R766" s="14" t="n"/>
      <c r="S766" s="14" t="n"/>
      <c r="T766" s="14" t="n"/>
      <c r="U766" s="14" t="n"/>
    </row>
    <row r="767">
      <c r="H767" s="14" t="n"/>
      <c r="I767" s="14" t="n"/>
      <c r="K767" s="14" t="n"/>
      <c r="L767" s="14" t="n"/>
      <c r="R767" s="14" t="n"/>
      <c r="S767" s="14" t="n"/>
      <c r="T767" s="14" t="n"/>
      <c r="U767" s="14" t="n"/>
    </row>
    <row r="768">
      <c r="H768" s="14" t="n"/>
      <c r="I768" s="14" t="n"/>
      <c r="K768" s="14" t="n"/>
      <c r="L768" s="14" t="n"/>
      <c r="R768" s="14" t="n"/>
      <c r="S768" s="14" t="n"/>
      <c r="T768" s="14" t="n"/>
      <c r="U768" s="14" t="n"/>
    </row>
    <row r="769">
      <c r="H769" s="14" t="n"/>
      <c r="I769" s="14" t="n"/>
      <c r="K769" s="14" t="n"/>
      <c r="L769" s="14" t="n"/>
      <c r="R769" s="14" t="n"/>
      <c r="S769" s="14" t="n"/>
      <c r="T769" s="14" t="n"/>
      <c r="U769" s="14" t="n"/>
    </row>
    <row r="770">
      <c r="H770" s="14" t="n"/>
      <c r="I770" s="14" t="n"/>
      <c r="K770" s="14" t="n"/>
      <c r="L770" s="14" t="n"/>
      <c r="R770" s="14" t="n"/>
      <c r="S770" s="14" t="n"/>
      <c r="T770" s="14" t="n"/>
      <c r="U770" s="14" t="n"/>
    </row>
    <row r="771">
      <c r="H771" s="14" t="n"/>
      <c r="I771" s="14" t="n"/>
      <c r="K771" s="14" t="n"/>
      <c r="L771" s="14" t="n"/>
      <c r="R771" s="14" t="n"/>
      <c r="S771" s="14" t="n"/>
      <c r="T771" s="14" t="n"/>
      <c r="U771" s="14" t="n"/>
    </row>
    <row r="772">
      <c r="H772" s="14" t="n"/>
      <c r="I772" s="14" t="n"/>
      <c r="K772" s="14" t="n"/>
      <c r="L772" s="14" t="n"/>
      <c r="R772" s="14" t="n"/>
      <c r="S772" s="14" t="n"/>
      <c r="T772" s="14" t="n"/>
      <c r="U772" s="14" t="n"/>
    </row>
    <row r="773">
      <c r="H773" s="14" t="n"/>
      <c r="I773" s="14" t="n"/>
      <c r="K773" s="14" t="n"/>
      <c r="L773" s="14" t="n"/>
      <c r="R773" s="14" t="n"/>
      <c r="S773" s="14" t="n"/>
      <c r="T773" s="14" t="n"/>
      <c r="U773" s="14" t="n"/>
    </row>
    <row r="774">
      <c r="H774" s="14" t="n"/>
      <c r="I774" s="14" t="n"/>
      <c r="K774" s="14" t="n"/>
      <c r="L774" s="14" t="n"/>
      <c r="R774" s="14" t="n"/>
      <c r="S774" s="14" t="n"/>
      <c r="T774" s="14" t="n"/>
      <c r="U774" s="14" t="n"/>
    </row>
    <row r="775">
      <c r="H775" s="14" t="n"/>
      <c r="I775" s="14" t="n"/>
      <c r="K775" s="14" t="n"/>
      <c r="L775" s="14" t="n"/>
      <c r="R775" s="14" t="n"/>
      <c r="S775" s="14" t="n"/>
      <c r="T775" s="14" t="n"/>
      <c r="U775" s="14" t="n"/>
    </row>
    <row r="776">
      <c r="H776" s="14" t="n"/>
      <c r="I776" s="14" t="n"/>
      <c r="K776" s="14" t="n"/>
      <c r="L776" s="14" t="n"/>
      <c r="R776" s="14" t="n"/>
      <c r="S776" s="14" t="n"/>
      <c r="T776" s="14" t="n"/>
      <c r="U776" s="14" t="n"/>
    </row>
    <row r="777">
      <c r="H777" s="14" t="n"/>
      <c r="I777" s="14" t="n"/>
      <c r="K777" s="14" t="n"/>
      <c r="L777" s="14" t="n"/>
      <c r="R777" s="14" t="n"/>
      <c r="S777" s="14" t="n"/>
      <c r="T777" s="14" t="n"/>
      <c r="U777" s="14" t="n"/>
    </row>
    <row r="778">
      <c r="H778" s="14" t="n"/>
      <c r="I778" s="14" t="n"/>
      <c r="K778" s="14" t="n"/>
      <c r="L778" s="14" t="n"/>
      <c r="R778" s="14" t="n"/>
      <c r="S778" s="14" t="n"/>
      <c r="T778" s="14" t="n"/>
      <c r="U778" s="14" t="n"/>
    </row>
    <row r="779">
      <c r="H779" s="14" t="n"/>
      <c r="I779" s="14" t="n"/>
      <c r="K779" s="14" t="n"/>
      <c r="L779" s="14" t="n"/>
      <c r="R779" s="14" t="n"/>
      <c r="S779" s="14" t="n"/>
      <c r="T779" s="14" t="n"/>
      <c r="U779" s="14" t="n"/>
    </row>
    <row r="780">
      <c r="H780" s="14" t="n"/>
      <c r="I780" s="14" t="n"/>
      <c r="K780" s="14" t="n"/>
      <c r="L780" s="14" t="n"/>
      <c r="R780" s="14" t="n"/>
      <c r="S780" s="14" t="n"/>
      <c r="T780" s="14" t="n"/>
      <c r="U780" s="14" t="n"/>
    </row>
    <row r="781">
      <c r="H781" s="14" t="n"/>
      <c r="I781" s="14" t="n"/>
      <c r="K781" s="14" t="n"/>
      <c r="L781" s="14" t="n"/>
      <c r="R781" s="14" t="n"/>
      <c r="S781" s="14" t="n"/>
      <c r="T781" s="14" t="n"/>
      <c r="U781" s="14" t="n"/>
    </row>
    <row r="782">
      <c r="H782" s="14" t="n"/>
      <c r="I782" s="14" t="n"/>
      <c r="K782" s="14" t="n"/>
      <c r="L782" s="14" t="n"/>
      <c r="R782" s="14" t="n"/>
      <c r="S782" s="14" t="n"/>
      <c r="T782" s="14" t="n"/>
      <c r="U782" s="14" t="n"/>
    </row>
    <row r="783">
      <c r="H783" s="14" t="n"/>
      <c r="I783" s="14" t="n"/>
      <c r="K783" s="14" t="n"/>
      <c r="L783" s="14" t="n"/>
      <c r="R783" s="14" t="n"/>
      <c r="S783" s="14" t="n"/>
      <c r="T783" s="14" t="n"/>
      <c r="U783" s="14" t="n"/>
    </row>
    <row r="784">
      <c r="H784" s="14" t="n"/>
      <c r="I784" s="14" t="n"/>
      <c r="K784" s="14" t="n"/>
      <c r="L784" s="14" t="n"/>
      <c r="R784" s="14" t="n"/>
      <c r="S784" s="14" t="n"/>
      <c r="T784" s="14" t="n"/>
      <c r="U784" s="14" t="n"/>
    </row>
    <row r="785">
      <c r="H785" s="14" t="n"/>
      <c r="I785" s="14" t="n"/>
      <c r="K785" s="14" t="n"/>
      <c r="L785" s="14" t="n"/>
      <c r="R785" s="14" t="n"/>
      <c r="S785" s="14" t="n"/>
      <c r="T785" s="14" t="n"/>
      <c r="U785" s="14" t="n"/>
    </row>
    <row r="786">
      <c r="H786" s="14" t="n"/>
      <c r="I786" s="14" t="n"/>
      <c r="K786" s="14" t="n"/>
      <c r="L786" s="14" t="n"/>
      <c r="R786" s="14" t="n"/>
      <c r="S786" s="14" t="n"/>
      <c r="T786" s="14" t="n"/>
      <c r="U786" s="14" t="n"/>
    </row>
    <row r="787">
      <c r="H787" s="14" t="n"/>
      <c r="I787" s="14" t="n"/>
      <c r="K787" s="14" t="n"/>
      <c r="L787" s="14" t="n"/>
      <c r="R787" s="14" t="n"/>
      <c r="S787" s="14" t="n"/>
      <c r="T787" s="14" t="n"/>
      <c r="U787" s="14" t="n"/>
    </row>
    <row r="788">
      <c r="H788" s="14" t="n"/>
      <c r="I788" s="14" t="n"/>
      <c r="K788" s="14" t="n"/>
      <c r="L788" s="14" t="n"/>
      <c r="R788" s="14" t="n"/>
      <c r="S788" s="14" t="n"/>
      <c r="T788" s="14" t="n"/>
      <c r="U788" s="14" t="n"/>
    </row>
    <row r="789">
      <c r="H789" s="14" t="n"/>
      <c r="I789" s="14" t="n"/>
      <c r="K789" s="14" t="n"/>
      <c r="L789" s="14" t="n"/>
      <c r="R789" s="14" t="n"/>
      <c r="S789" s="14" t="n"/>
      <c r="T789" s="14" t="n"/>
      <c r="U789" s="14" t="n"/>
    </row>
    <row r="790">
      <c r="H790" s="14" t="n"/>
      <c r="I790" s="14" t="n"/>
      <c r="K790" s="14" t="n"/>
      <c r="L790" s="14" t="n"/>
      <c r="R790" s="14" t="n"/>
      <c r="S790" s="14" t="n"/>
      <c r="T790" s="14" t="n"/>
      <c r="U790" s="14" t="n"/>
    </row>
    <row r="791">
      <c r="H791" s="14" t="n"/>
      <c r="I791" s="14" t="n"/>
      <c r="K791" s="14" t="n"/>
      <c r="L791" s="14" t="n"/>
      <c r="R791" s="14" t="n"/>
      <c r="S791" s="14" t="n"/>
      <c r="T791" s="14" t="n"/>
      <c r="U791" s="14" t="n"/>
    </row>
    <row r="792">
      <c r="H792" s="14" t="n"/>
      <c r="I792" s="14" t="n"/>
      <c r="K792" s="14" t="n"/>
      <c r="L792" s="14" t="n"/>
      <c r="R792" s="14" t="n"/>
      <c r="S792" s="14" t="n"/>
      <c r="T792" s="14" t="n"/>
      <c r="U792" s="14" t="n"/>
    </row>
    <row r="793">
      <c r="H793" s="14" t="n"/>
      <c r="I793" s="14" t="n"/>
      <c r="K793" s="14" t="n"/>
      <c r="L793" s="14" t="n"/>
      <c r="R793" s="14" t="n"/>
      <c r="S793" s="14" t="n"/>
      <c r="T793" s="14" t="n"/>
      <c r="U793" s="14" t="n"/>
    </row>
    <row r="794">
      <c r="H794" s="14" t="n"/>
      <c r="I794" s="14" t="n"/>
      <c r="K794" s="14" t="n"/>
      <c r="L794" s="14" t="n"/>
      <c r="R794" s="14" t="n"/>
      <c r="S794" s="14" t="n"/>
      <c r="T794" s="14" t="n"/>
      <c r="U794" s="14" t="n"/>
    </row>
    <row r="795">
      <c r="H795" s="14" t="n"/>
      <c r="I795" s="14" t="n"/>
      <c r="K795" s="14" t="n"/>
      <c r="L795" s="14" t="n"/>
      <c r="R795" s="14" t="n"/>
      <c r="S795" s="14" t="n"/>
      <c r="T795" s="14" t="n"/>
      <c r="U795" s="14" t="n"/>
    </row>
    <row r="796">
      <c r="H796" s="14" t="n"/>
      <c r="I796" s="14" t="n"/>
      <c r="K796" s="14" t="n"/>
      <c r="L796" s="14" t="n"/>
      <c r="R796" s="14" t="n"/>
      <c r="S796" s="14" t="n"/>
      <c r="T796" s="14" t="n"/>
      <c r="U796" s="14" t="n"/>
    </row>
    <row r="797">
      <c r="H797" s="14" t="n"/>
      <c r="I797" s="14" t="n"/>
      <c r="K797" s="14" t="n"/>
      <c r="L797" s="14" t="n"/>
      <c r="R797" s="14" t="n"/>
      <c r="S797" s="14" t="n"/>
      <c r="T797" s="14" t="n"/>
      <c r="U797" s="14" t="n"/>
    </row>
    <row r="798">
      <c r="H798" s="14" t="n"/>
      <c r="I798" s="14" t="n"/>
      <c r="K798" s="14" t="n"/>
      <c r="L798" s="14" t="n"/>
      <c r="R798" s="14" t="n"/>
      <c r="S798" s="14" t="n"/>
      <c r="T798" s="14" t="n"/>
      <c r="U798" s="14" t="n"/>
    </row>
    <row r="799">
      <c r="H799" s="14" t="n"/>
      <c r="I799" s="14" t="n"/>
      <c r="K799" s="14" t="n"/>
      <c r="L799" s="14" t="n"/>
      <c r="R799" s="14" t="n"/>
      <c r="S799" s="14" t="n"/>
      <c r="T799" s="14" t="n"/>
      <c r="U799" s="14" t="n"/>
    </row>
    <row r="800">
      <c r="H800" s="14" t="n"/>
      <c r="I800" s="14" t="n"/>
      <c r="K800" s="14" t="n"/>
      <c r="L800" s="14" t="n"/>
      <c r="R800" s="14" t="n"/>
      <c r="S800" s="14" t="n"/>
      <c r="T800" s="14" t="n"/>
      <c r="U800" s="14" t="n"/>
    </row>
    <row r="801">
      <c r="H801" s="14" t="n"/>
      <c r="I801" s="14" t="n"/>
      <c r="K801" s="14" t="n"/>
      <c r="L801" s="14" t="n"/>
      <c r="R801" s="14" t="n"/>
      <c r="S801" s="14" t="n"/>
      <c r="T801" s="14" t="n"/>
      <c r="U801" s="14" t="n"/>
    </row>
    <row r="802">
      <c r="H802" s="14" t="n"/>
      <c r="I802" s="14" t="n"/>
      <c r="K802" s="14" t="n"/>
      <c r="L802" s="14" t="n"/>
      <c r="R802" s="14" t="n"/>
      <c r="S802" s="14" t="n"/>
      <c r="T802" s="14" t="n"/>
      <c r="U802" s="14" t="n"/>
    </row>
    <row r="803">
      <c r="H803" s="14" t="n"/>
      <c r="I803" s="14" t="n"/>
      <c r="K803" s="14" t="n"/>
      <c r="L803" s="14" t="n"/>
      <c r="R803" s="14" t="n"/>
      <c r="S803" s="14" t="n"/>
      <c r="T803" s="14" t="n"/>
      <c r="U803" s="14" t="n"/>
    </row>
    <row r="804">
      <c r="H804" s="14" t="n"/>
      <c r="I804" s="14" t="n"/>
      <c r="K804" s="14" t="n"/>
      <c r="L804" s="14" t="n"/>
      <c r="R804" s="14" t="n"/>
      <c r="S804" s="14" t="n"/>
      <c r="T804" s="14" t="n"/>
      <c r="U804" s="14" t="n"/>
    </row>
    <row r="805">
      <c r="H805" s="14" t="n"/>
      <c r="I805" s="14" t="n"/>
      <c r="K805" s="14" t="n"/>
      <c r="L805" s="14" t="n"/>
      <c r="R805" s="14" t="n"/>
      <c r="S805" s="14" t="n"/>
      <c r="T805" s="14" t="n"/>
      <c r="U805" s="14" t="n"/>
    </row>
    <row r="806">
      <c r="H806" s="14" t="n"/>
      <c r="I806" s="14" t="n"/>
      <c r="K806" s="14" t="n"/>
      <c r="L806" s="14" t="n"/>
      <c r="R806" s="14" t="n"/>
      <c r="S806" s="14" t="n"/>
      <c r="T806" s="14" t="n"/>
      <c r="U806" s="14" t="n"/>
    </row>
    <row r="807">
      <c r="H807" s="14" t="n"/>
      <c r="I807" s="14" t="n"/>
      <c r="K807" s="14" t="n"/>
      <c r="L807" s="14" t="n"/>
      <c r="R807" s="14" t="n"/>
      <c r="S807" s="14" t="n"/>
      <c r="T807" s="14" t="n"/>
      <c r="U807" s="14" t="n"/>
    </row>
    <row r="808">
      <c r="H808" s="14" t="n"/>
      <c r="I808" s="14" t="n"/>
      <c r="K808" s="14" t="n"/>
      <c r="L808" s="14" t="n"/>
      <c r="R808" s="14" t="n"/>
      <c r="S808" s="14" t="n"/>
      <c r="T808" s="14" t="n"/>
      <c r="U808" s="14" t="n"/>
    </row>
    <row r="809">
      <c r="H809" s="14" t="n"/>
      <c r="I809" s="14" t="n"/>
      <c r="K809" s="14" t="n"/>
      <c r="L809" s="14" t="n"/>
      <c r="R809" s="14" t="n"/>
      <c r="S809" s="14" t="n"/>
      <c r="T809" s="14" t="n"/>
      <c r="U809" s="14" t="n"/>
    </row>
    <row r="810">
      <c r="H810" s="14" t="n"/>
      <c r="I810" s="14" t="n"/>
      <c r="K810" s="14" t="n"/>
      <c r="L810" s="14" t="n"/>
      <c r="R810" s="14" t="n"/>
      <c r="S810" s="14" t="n"/>
      <c r="T810" s="14" t="n"/>
      <c r="U810" s="14" t="n"/>
    </row>
    <row r="811">
      <c r="H811" s="14" t="n"/>
      <c r="I811" s="14" t="n"/>
      <c r="K811" s="14" t="n"/>
      <c r="L811" s="14" t="n"/>
      <c r="R811" s="14" t="n"/>
      <c r="S811" s="14" t="n"/>
      <c r="T811" s="14" t="n"/>
      <c r="U811" s="14" t="n"/>
    </row>
    <row r="812">
      <c r="H812" s="14" t="n"/>
      <c r="I812" s="14" t="n"/>
      <c r="K812" s="14" t="n"/>
      <c r="L812" s="14" t="n"/>
      <c r="R812" s="14" t="n"/>
      <c r="S812" s="14" t="n"/>
      <c r="T812" s="14" t="n"/>
      <c r="U812" s="14" t="n"/>
    </row>
    <row r="813">
      <c r="H813" s="14" t="n"/>
      <c r="I813" s="14" t="n"/>
      <c r="K813" s="14" t="n"/>
      <c r="L813" s="14" t="n"/>
      <c r="R813" s="14" t="n"/>
      <c r="S813" s="14" t="n"/>
      <c r="T813" s="14" t="n"/>
      <c r="U813" s="14" t="n"/>
    </row>
    <row r="814">
      <c r="H814" s="14" t="n"/>
      <c r="I814" s="14" t="n"/>
      <c r="K814" s="14" t="n"/>
      <c r="L814" s="14" t="n"/>
      <c r="R814" s="14" t="n"/>
      <c r="S814" s="14" t="n"/>
      <c r="T814" s="14" t="n"/>
      <c r="U814" s="14" t="n"/>
    </row>
    <row r="815">
      <c r="H815" s="14" t="n"/>
      <c r="I815" s="14" t="n"/>
      <c r="K815" s="14" t="n"/>
      <c r="L815" s="14" t="n"/>
      <c r="R815" s="14" t="n"/>
      <c r="S815" s="14" t="n"/>
      <c r="T815" s="14" t="n"/>
      <c r="U815" s="14" t="n"/>
    </row>
    <row r="816">
      <c r="H816" s="14" t="n"/>
      <c r="I816" s="14" t="n"/>
      <c r="K816" s="14" t="n"/>
      <c r="L816" s="14" t="n"/>
      <c r="R816" s="14" t="n"/>
      <c r="S816" s="14" t="n"/>
      <c r="T816" s="14" t="n"/>
      <c r="U816" s="14" t="n"/>
    </row>
    <row r="817">
      <c r="H817" s="14" t="n"/>
      <c r="I817" s="14" t="n"/>
      <c r="K817" s="14" t="n"/>
      <c r="L817" s="14" t="n"/>
      <c r="R817" s="14" t="n"/>
      <c r="S817" s="14" t="n"/>
      <c r="T817" s="14" t="n"/>
      <c r="U817" s="14" t="n"/>
    </row>
    <row r="818">
      <c r="H818" s="14" t="n"/>
      <c r="I818" s="14" t="n"/>
      <c r="K818" s="14" t="n"/>
      <c r="L818" s="14" t="n"/>
      <c r="R818" s="14" t="n"/>
      <c r="S818" s="14" t="n"/>
      <c r="T818" s="14" t="n"/>
      <c r="U818" s="14" t="n"/>
    </row>
    <row r="819">
      <c r="H819" s="14" t="n"/>
      <c r="I819" s="14" t="n"/>
      <c r="K819" s="14" t="n"/>
      <c r="L819" s="14" t="n"/>
      <c r="R819" s="14" t="n"/>
      <c r="S819" s="14" t="n"/>
      <c r="T819" s="14" t="n"/>
      <c r="U819" s="14" t="n"/>
    </row>
    <row r="820">
      <c r="H820" s="14" t="n"/>
      <c r="I820" s="14" t="n"/>
      <c r="K820" s="14" t="n"/>
      <c r="L820" s="14" t="n"/>
      <c r="R820" s="14" t="n"/>
      <c r="S820" s="14" t="n"/>
      <c r="T820" s="14" t="n"/>
      <c r="U820" s="14" t="n"/>
    </row>
    <row r="821">
      <c r="H821" s="14" t="n"/>
      <c r="I821" s="14" t="n"/>
      <c r="K821" s="14" t="n"/>
      <c r="L821" s="14" t="n"/>
      <c r="R821" s="14" t="n"/>
      <c r="S821" s="14" t="n"/>
      <c r="T821" s="14" t="n"/>
      <c r="U821" s="14" t="n"/>
    </row>
    <row r="822">
      <c r="H822" s="14" t="n"/>
      <c r="I822" s="14" t="n"/>
      <c r="K822" s="14" t="n"/>
      <c r="L822" s="14" t="n"/>
      <c r="R822" s="14" t="n"/>
      <c r="S822" s="14" t="n"/>
      <c r="T822" s="14" t="n"/>
      <c r="U822" s="14" t="n"/>
    </row>
    <row r="823">
      <c r="H823" s="14" t="n"/>
      <c r="I823" s="14" t="n"/>
      <c r="K823" s="14" t="n"/>
      <c r="L823" s="14" t="n"/>
      <c r="R823" s="14" t="n"/>
      <c r="S823" s="14" t="n"/>
      <c r="T823" s="14" t="n"/>
      <c r="U823" s="14" t="n"/>
    </row>
    <row r="824">
      <c r="H824" s="14" t="n"/>
      <c r="I824" s="14" t="n"/>
      <c r="K824" s="14" t="n"/>
      <c r="L824" s="14" t="n"/>
      <c r="R824" s="14" t="n"/>
      <c r="S824" s="14" t="n"/>
      <c r="T824" s="14" t="n"/>
      <c r="U824" s="14" t="n"/>
    </row>
    <row r="825">
      <c r="H825" s="14" t="n"/>
      <c r="I825" s="14" t="n"/>
      <c r="K825" s="14" t="n"/>
      <c r="L825" s="14" t="n"/>
      <c r="R825" s="14" t="n"/>
      <c r="S825" s="14" t="n"/>
      <c r="T825" s="14" t="n"/>
      <c r="U825" s="14" t="n"/>
    </row>
    <row r="826">
      <c r="H826" s="14" t="n"/>
      <c r="I826" s="14" t="n"/>
      <c r="K826" s="14" t="n"/>
      <c r="L826" s="14" t="n"/>
      <c r="R826" s="14" t="n"/>
      <c r="S826" s="14" t="n"/>
      <c r="T826" s="14" t="n"/>
      <c r="U826" s="14" t="n"/>
    </row>
    <row r="827">
      <c r="H827" s="14" t="n"/>
      <c r="I827" s="14" t="n"/>
      <c r="K827" s="14" t="n"/>
      <c r="L827" s="14" t="n"/>
      <c r="R827" s="14" t="n"/>
      <c r="S827" s="14" t="n"/>
      <c r="T827" s="14" t="n"/>
      <c r="U827" s="14" t="n"/>
    </row>
    <row r="828">
      <c r="H828" s="14" t="n"/>
      <c r="I828" s="14" t="n"/>
      <c r="K828" s="14" t="n"/>
      <c r="L828" s="14" t="n"/>
      <c r="R828" s="14" t="n"/>
      <c r="S828" s="14" t="n"/>
      <c r="T828" s="14" t="n"/>
      <c r="U828" s="14" t="n"/>
    </row>
    <row r="829">
      <c r="H829" s="14" t="n"/>
      <c r="I829" s="14" t="n"/>
      <c r="K829" s="14" t="n"/>
      <c r="L829" s="14" t="n"/>
      <c r="R829" s="14" t="n"/>
      <c r="S829" s="14" t="n"/>
      <c r="T829" s="14" t="n"/>
      <c r="U829" s="14" t="n"/>
    </row>
    <row r="830">
      <c r="H830" s="14" t="n"/>
      <c r="I830" s="14" t="n"/>
      <c r="K830" s="14" t="n"/>
      <c r="L830" s="14" t="n"/>
      <c r="R830" s="14" t="n"/>
      <c r="S830" s="14" t="n"/>
      <c r="T830" s="14" t="n"/>
      <c r="U830" s="14" t="n"/>
    </row>
    <row r="831">
      <c r="H831" s="14" t="n"/>
      <c r="I831" s="14" t="n"/>
      <c r="K831" s="14" t="n"/>
      <c r="L831" s="14" t="n"/>
      <c r="R831" s="14" t="n"/>
      <c r="S831" s="14" t="n"/>
      <c r="T831" s="14" t="n"/>
      <c r="U831" s="14" t="n"/>
    </row>
    <row r="832">
      <c r="H832" s="14" t="n"/>
      <c r="I832" s="14" t="n"/>
      <c r="K832" s="14" t="n"/>
      <c r="L832" s="14" t="n"/>
      <c r="R832" s="14" t="n"/>
      <c r="S832" s="14" t="n"/>
      <c r="T832" s="14" t="n"/>
      <c r="U832" s="14" t="n"/>
    </row>
    <row r="833">
      <c r="H833" s="14" t="n"/>
      <c r="I833" s="14" t="n"/>
      <c r="K833" s="14" t="n"/>
      <c r="L833" s="14" t="n"/>
      <c r="R833" s="14" t="n"/>
      <c r="S833" s="14" t="n"/>
      <c r="T833" s="14" t="n"/>
      <c r="U833" s="14" t="n"/>
    </row>
    <row r="834">
      <c r="H834" s="14" t="n"/>
      <c r="I834" s="14" t="n"/>
      <c r="K834" s="14" t="n"/>
      <c r="L834" s="14" t="n"/>
      <c r="R834" s="14" t="n"/>
      <c r="S834" s="14" t="n"/>
      <c r="T834" s="14" t="n"/>
      <c r="U834" s="14" t="n"/>
    </row>
    <row r="835">
      <c r="H835" s="14" t="n"/>
      <c r="I835" s="14" t="n"/>
      <c r="K835" s="14" t="n"/>
      <c r="L835" s="14" t="n"/>
      <c r="R835" s="14" t="n"/>
      <c r="S835" s="14" t="n"/>
      <c r="T835" s="14" t="n"/>
      <c r="U835" s="14" t="n"/>
    </row>
    <row r="836">
      <c r="H836" s="14" t="n"/>
      <c r="I836" s="14" t="n"/>
      <c r="K836" s="14" t="n"/>
      <c r="L836" s="14" t="n"/>
      <c r="R836" s="14" t="n"/>
      <c r="S836" s="14" t="n"/>
      <c r="T836" s="14" t="n"/>
      <c r="U836" s="14" t="n"/>
    </row>
    <row r="837">
      <c r="H837" s="14" t="n"/>
      <c r="I837" s="14" t="n"/>
      <c r="K837" s="14" t="n"/>
      <c r="L837" s="14" t="n"/>
      <c r="R837" s="14" t="n"/>
      <c r="S837" s="14" t="n"/>
      <c r="T837" s="14" t="n"/>
      <c r="U837" s="14" t="n"/>
    </row>
    <row r="838">
      <c r="H838" s="14" t="n"/>
      <c r="I838" s="14" t="n"/>
      <c r="K838" s="14" t="n"/>
      <c r="L838" s="14" t="n"/>
      <c r="R838" s="14" t="n"/>
      <c r="S838" s="14" t="n"/>
      <c r="T838" s="14" t="n"/>
      <c r="U838" s="14" t="n"/>
    </row>
    <row r="839">
      <c r="H839" s="14" t="n"/>
      <c r="I839" s="14" t="n"/>
      <c r="K839" s="14" t="n"/>
      <c r="L839" s="14" t="n"/>
      <c r="R839" s="14" t="n"/>
      <c r="S839" s="14" t="n"/>
      <c r="T839" s="14" t="n"/>
      <c r="U839" s="14" t="n"/>
    </row>
    <row r="840">
      <c r="H840" s="14" t="n"/>
      <c r="I840" s="14" t="n"/>
      <c r="K840" s="14" t="n"/>
      <c r="L840" s="14" t="n"/>
      <c r="R840" s="14" t="n"/>
      <c r="S840" s="14" t="n"/>
      <c r="T840" s="14" t="n"/>
      <c r="U840" s="14" t="n"/>
    </row>
    <row r="841">
      <c r="H841" s="14" t="n"/>
      <c r="I841" s="14" t="n"/>
      <c r="K841" s="14" t="n"/>
      <c r="L841" s="14" t="n"/>
      <c r="R841" s="14" t="n"/>
      <c r="S841" s="14" t="n"/>
      <c r="T841" s="14" t="n"/>
      <c r="U841" s="14" t="n"/>
    </row>
    <row r="842">
      <c r="H842" s="14" t="n"/>
      <c r="I842" s="14" t="n"/>
      <c r="K842" s="14" t="n"/>
      <c r="L842" s="14" t="n"/>
      <c r="R842" s="14" t="n"/>
      <c r="S842" s="14" t="n"/>
      <c r="T842" s="14" t="n"/>
      <c r="U842" s="14" t="n"/>
    </row>
    <row r="843">
      <c r="H843" s="14" t="n"/>
      <c r="I843" s="14" t="n"/>
      <c r="K843" s="14" t="n"/>
      <c r="L843" s="14" t="n"/>
      <c r="R843" s="14" t="n"/>
      <c r="S843" s="14" t="n"/>
      <c r="T843" s="14" t="n"/>
      <c r="U843" s="14" t="n"/>
    </row>
    <row r="844">
      <c r="H844" s="14" t="n"/>
      <c r="I844" s="14" t="n"/>
      <c r="K844" s="14" t="n"/>
      <c r="L844" s="14" t="n"/>
      <c r="R844" s="14" t="n"/>
      <c r="S844" s="14" t="n"/>
      <c r="T844" s="14" t="n"/>
      <c r="U844" s="14" t="n"/>
    </row>
    <row r="845">
      <c r="H845" s="14" t="n"/>
      <c r="I845" s="14" t="n"/>
      <c r="K845" s="14" t="n"/>
      <c r="L845" s="14" t="n"/>
      <c r="R845" s="14" t="n"/>
      <c r="S845" s="14" t="n"/>
      <c r="T845" s="14" t="n"/>
      <c r="U845" s="14" t="n"/>
    </row>
    <row r="846">
      <c r="H846" s="14" t="n"/>
      <c r="I846" s="14" t="n"/>
      <c r="K846" s="14" t="n"/>
      <c r="L846" s="14" t="n"/>
      <c r="R846" s="14" t="n"/>
      <c r="S846" s="14" t="n"/>
      <c r="T846" s="14" t="n"/>
      <c r="U846" s="14" t="n"/>
    </row>
    <row r="847">
      <c r="H847" s="14" t="n"/>
      <c r="I847" s="14" t="n"/>
      <c r="K847" s="14" t="n"/>
      <c r="L847" s="14" t="n"/>
      <c r="R847" s="14" t="n"/>
      <c r="S847" s="14" t="n"/>
      <c r="T847" s="14" t="n"/>
      <c r="U847" s="14" t="n"/>
    </row>
    <row r="848">
      <c r="H848" s="14" t="n"/>
      <c r="I848" s="14" t="n"/>
      <c r="K848" s="14" t="n"/>
      <c r="L848" s="14" t="n"/>
      <c r="R848" s="14" t="n"/>
      <c r="S848" s="14" t="n"/>
      <c r="T848" s="14" t="n"/>
      <c r="U848" s="14" t="n"/>
    </row>
    <row r="849">
      <c r="H849" s="14" t="n"/>
      <c r="I849" s="14" t="n"/>
      <c r="K849" s="14" t="n"/>
      <c r="L849" s="14" t="n"/>
      <c r="R849" s="14" t="n"/>
      <c r="S849" s="14" t="n"/>
      <c r="T849" s="14" t="n"/>
      <c r="U849" s="14" t="n"/>
    </row>
    <row r="850">
      <c r="H850" s="14" t="n"/>
      <c r="I850" s="14" t="n"/>
      <c r="K850" s="14" t="n"/>
      <c r="L850" s="14" t="n"/>
      <c r="R850" s="14" t="n"/>
      <c r="S850" s="14" t="n"/>
      <c r="T850" s="14" t="n"/>
      <c r="U850" s="14" t="n"/>
    </row>
    <row r="851">
      <c r="H851" s="14" t="n"/>
      <c r="I851" s="14" t="n"/>
      <c r="K851" s="14" t="n"/>
      <c r="L851" s="14" t="n"/>
      <c r="R851" s="14" t="n"/>
      <c r="S851" s="14" t="n"/>
      <c r="T851" s="14" t="n"/>
      <c r="U851" s="14" t="n"/>
    </row>
    <row r="852">
      <c r="H852" s="14" t="n"/>
      <c r="I852" s="14" t="n"/>
      <c r="K852" s="14" t="n"/>
      <c r="L852" s="14" t="n"/>
      <c r="R852" s="14" t="n"/>
      <c r="S852" s="14" t="n"/>
      <c r="T852" s="14" t="n"/>
      <c r="U852" s="14" t="n"/>
    </row>
    <row r="853">
      <c r="H853" s="14" t="n"/>
      <c r="I853" s="14" t="n"/>
      <c r="K853" s="14" t="n"/>
      <c r="L853" s="14" t="n"/>
      <c r="R853" s="14" t="n"/>
      <c r="S853" s="14" t="n"/>
      <c r="T853" s="14" t="n"/>
      <c r="U853" s="14" t="n"/>
    </row>
    <row r="854">
      <c r="H854" s="14" t="n"/>
      <c r="I854" s="14" t="n"/>
      <c r="K854" s="14" t="n"/>
      <c r="L854" s="14" t="n"/>
      <c r="R854" s="14" t="n"/>
      <c r="S854" s="14" t="n"/>
      <c r="T854" s="14" t="n"/>
      <c r="U854" s="14" t="n"/>
    </row>
    <row r="855">
      <c r="H855" s="14" t="n"/>
      <c r="I855" s="14" t="n"/>
      <c r="K855" s="14" t="n"/>
      <c r="L855" s="14" t="n"/>
      <c r="R855" s="14" t="n"/>
      <c r="S855" s="14" t="n"/>
      <c r="T855" s="14" t="n"/>
      <c r="U855" s="14" t="n"/>
    </row>
    <row r="856">
      <c r="H856" s="14" t="n"/>
      <c r="I856" s="14" t="n"/>
      <c r="K856" s="14" t="n"/>
      <c r="L856" s="14" t="n"/>
      <c r="R856" s="14" t="n"/>
      <c r="S856" s="14" t="n"/>
      <c r="T856" s="14" t="n"/>
      <c r="U856" s="14" t="n"/>
    </row>
    <row r="857">
      <c r="H857" s="14" t="n"/>
      <c r="I857" s="14" t="n"/>
      <c r="K857" s="14" t="n"/>
      <c r="L857" s="14" t="n"/>
      <c r="R857" s="14" t="n"/>
      <c r="S857" s="14" t="n"/>
      <c r="T857" s="14" t="n"/>
      <c r="U857" s="14" t="n"/>
    </row>
    <row r="858">
      <c r="H858" s="14" t="n"/>
      <c r="I858" s="14" t="n"/>
      <c r="K858" s="14" t="n"/>
      <c r="L858" s="14" t="n"/>
      <c r="R858" s="14" t="n"/>
      <c r="S858" s="14" t="n"/>
      <c r="T858" s="14" t="n"/>
      <c r="U858" s="14" t="n"/>
    </row>
    <row r="859">
      <c r="H859" s="14" t="n"/>
      <c r="I859" s="14" t="n"/>
      <c r="K859" s="14" t="n"/>
      <c r="L859" s="14" t="n"/>
      <c r="R859" s="14" t="n"/>
      <c r="S859" s="14" t="n"/>
      <c r="T859" s="14" t="n"/>
      <c r="U859" s="14" t="n"/>
    </row>
    <row r="860">
      <c r="H860" s="14" t="n"/>
      <c r="I860" s="14" t="n"/>
      <c r="K860" s="14" t="n"/>
      <c r="L860" s="14" t="n"/>
      <c r="R860" s="14" t="n"/>
      <c r="S860" s="14" t="n"/>
      <c r="T860" s="14" t="n"/>
      <c r="U860" s="14" t="n"/>
    </row>
    <row r="861">
      <c r="H861" s="14" t="n"/>
      <c r="I861" s="14" t="n"/>
      <c r="K861" s="14" t="n"/>
      <c r="L861" s="14" t="n"/>
      <c r="R861" s="14" t="n"/>
      <c r="S861" s="14" t="n"/>
      <c r="T861" s="14" t="n"/>
      <c r="U861" s="14" t="n"/>
    </row>
    <row r="862">
      <c r="H862" s="14" t="n"/>
      <c r="I862" s="14" t="n"/>
      <c r="K862" s="14" t="n"/>
      <c r="L862" s="14" t="n"/>
      <c r="R862" s="14" t="n"/>
      <c r="S862" s="14" t="n"/>
      <c r="T862" s="14" t="n"/>
      <c r="U862" s="14" t="n"/>
    </row>
    <row r="863">
      <c r="H863" s="14" t="n"/>
      <c r="I863" s="14" t="n"/>
      <c r="K863" s="14" t="n"/>
      <c r="L863" s="14" t="n"/>
      <c r="R863" s="14" t="n"/>
      <c r="S863" s="14" t="n"/>
      <c r="T863" s="14" t="n"/>
      <c r="U863" s="14" t="n"/>
    </row>
    <row r="864">
      <c r="H864" s="14" t="n"/>
      <c r="I864" s="14" t="n"/>
      <c r="K864" s="14" t="n"/>
      <c r="L864" s="14" t="n"/>
      <c r="R864" s="14" t="n"/>
      <c r="S864" s="14" t="n"/>
      <c r="T864" s="14" t="n"/>
      <c r="U864" s="14" t="n"/>
    </row>
    <row r="865">
      <c r="H865" s="14" t="n"/>
      <c r="I865" s="14" t="n"/>
      <c r="K865" s="14" t="n"/>
      <c r="L865" s="14" t="n"/>
      <c r="R865" s="14" t="n"/>
      <c r="S865" s="14" t="n"/>
      <c r="T865" s="14" t="n"/>
      <c r="U865" s="14" t="n"/>
    </row>
    <row r="866">
      <c r="H866" s="14" t="n"/>
      <c r="I866" s="14" t="n"/>
      <c r="K866" s="14" t="n"/>
      <c r="L866" s="14" t="n"/>
      <c r="R866" s="14" t="n"/>
      <c r="S866" s="14" t="n"/>
      <c r="T866" s="14" t="n"/>
      <c r="U866" s="14" t="n"/>
    </row>
    <row r="867">
      <c r="H867" s="14" t="n"/>
      <c r="I867" s="14" t="n"/>
      <c r="K867" s="14" t="n"/>
      <c r="L867" s="14" t="n"/>
      <c r="R867" s="14" t="n"/>
      <c r="S867" s="14" t="n"/>
      <c r="T867" s="14" t="n"/>
      <c r="U867" s="14" t="n"/>
    </row>
    <row r="868">
      <c r="H868" s="14" t="n"/>
      <c r="I868" s="14" t="n"/>
      <c r="K868" s="14" t="n"/>
      <c r="L868" s="14" t="n"/>
      <c r="R868" s="14" t="n"/>
      <c r="S868" s="14" t="n"/>
      <c r="T868" s="14" t="n"/>
      <c r="U868" s="14" t="n"/>
    </row>
    <row r="869">
      <c r="H869" s="14" t="n"/>
      <c r="I869" s="14" t="n"/>
      <c r="K869" s="14" t="n"/>
      <c r="L869" s="14" t="n"/>
      <c r="R869" s="14" t="n"/>
      <c r="S869" s="14" t="n"/>
      <c r="T869" s="14" t="n"/>
      <c r="U869" s="14" t="n"/>
    </row>
    <row r="870">
      <c r="H870" s="14" t="n"/>
      <c r="I870" s="14" t="n"/>
      <c r="K870" s="14" t="n"/>
      <c r="L870" s="14" t="n"/>
      <c r="R870" s="14" t="n"/>
      <c r="S870" s="14" t="n"/>
      <c r="T870" s="14" t="n"/>
      <c r="U870" s="14" t="n"/>
    </row>
    <row r="871">
      <c r="H871" s="14" t="n"/>
      <c r="I871" s="14" t="n"/>
      <c r="K871" s="14" t="n"/>
      <c r="L871" s="14" t="n"/>
      <c r="R871" s="14" t="n"/>
      <c r="S871" s="14" t="n"/>
      <c r="T871" s="14" t="n"/>
      <c r="U871" s="14" t="n"/>
    </row>
    <row r="872">
      <c r="H872" s="14" t="n"/>
      <c r="I872" s="14" t="n"/>
      <c r="K872" s="14" t="n"/>
      <c r="L872" s="14" t="n"/>
      <c r="R872" s="14" t="n"/>
      <c r="S872" s="14" t="n"/>
      <c r="T872" s="14" t="n"/>
      <c r="U872" s="14" t="n"/>
    </row>
    <row r="873">
      <c r="H873" s="14" t="n"/>
      <c r="I873" s="14" t="n"/>
      <c r="K873" s="14" t="n"/>
      <c r="L873" s="14" t="n"/>
      <c r="R873" s="14" t="n"/>
      <c r="S873" s="14" t="n"/>
      <c r="T873" s="14" t="n"/>
      <c r="U873" s="14" t="n"/>
    </row>
    <row r="874">
      <c r="H874" s="14" t="n"/>
      <c r="I874" s="14" t="n"/>
      <c r="K874" s="14" t="n"/>
      <c r="L874" s="14" t="n"/>
      <c r="R874" s="14" t="n"/>
      <c r="S874" s="14" t="n"/>
      <c r="T874" s="14" t="n"/>
      <c r="U874" s="14" t="n"/>
    </row>
    <row r="875">
      <c r="H875" s="14" t="n"/>
      <c r="I875" s="14" t="n"/>
      <c r="K875" s="14" t="n"/>
      <c r="L875" s="14" t="n"/>
      <c r="R875" s="14" t="n"/>
      <c r="S875" s="14" t="n"/>
      <c r="T875" s="14" t="n"/>
      <c r="U875" s="14" t="n"/>
    </row>
    <row r="876">
      <c r="H876" s="14" t="n"/>
      <c r="I876" s="14" t="n"/>
      <c r="K876" s="14" t="n"/>
      <c r="L876" s="14" t="n"/>
      <c r="R876" s="14" t="n"/>
      <c r="S876" s="14" t="n"/>
      <c r="T876" s="14" t="n"/>
      <c r="U876" s="14" t="n"/>
    </row>
    <row r="877">
      <c r="H877" s="14" t="n"/>
      <c r="I877" s="14" t="n"/>
      <c r="K877" s="14" t="n"/>
      <c r="L877" s="14" t="n"/>
      <c r="R877" s="14" t="n"/>
      <c r="S877" s="14" t="n"/>
      <c r="T877" s="14" t="n"/>
      <c r="U877" s="14" t="n"/>
    </row>
    <row r="878">
      <c r="H878" s="14" t="n"/>
      <c r="I878" s="14" t="n"/>
      <c r="K878" s="14" t="n"/>
      <c r="L878" s="14" t="n"/>
      <c r="R878" s="14" t="n"/>
      <c r="S878" s="14" t="n"/>
      <c r="T878" s="14" t="n"/>
      <c r="U878" s="14" t="n"/>
    </row>
    <row r="879">
      <c r="H879" s="14" t="n"/>
      <c r="I879" s="14" t="n"/>
      <c r="K879" s="14" t="n"/>
      <c r="L879" s="14" t="n"/>
      <c r="R879" s="14" t="n"/>
      <c r="S879" s="14" t="n"/>
      <c r="T879" s="14" t="n"/>
      <c r="U879" s="14" t="n"/>
    </row>
    <row r="880">
      <c r="H880" s="14" t="n"/>
      <c r="I880" s="14" t="n"/>
      <c r="K880" s="14" t="n"/>
      <c r="L880" s="14" t="n"/>
      <c r="R880" s="14" t="n"/>
      <c r="S880" s="14" t="n"/>
      <c r="T880" s="14" t="n"/>
      <c r="U880" s="14" t="n"/>
    </row>
    <row r="881">
      <c r="H881" s="14" t="n"/>
      <c r="I881" s="14" t="n"/>
      <c r="K881" s="14" t="n"/>
      <c r="L881" s="14" t="n"/>
      <c r="R881" s="14" t="n"/>
      <c r="S881" s="14" t="n"/>
      <c r="T881" s="14" t="n"/>
      <c r="U881" s="14" t="n"/>
    </row>
    <row r="882">
      <c r="H882" s="14" t="n"/>
      <c r="I882" s="14" t="n"/>
      <c r="K882" s="14" t="n"/>
      <c r="L882" s="14" t="n"/>
      <c r="R882" s="14" t="n"/>
      <c r="S882" s="14" t="n"/>
      <c r="T882" s="14" t="n"/>
      <c r="U882" s="14" t="n"/>
    </row>
    <row r="883">
      <c r="H883" s="14" t="n"/>
      <c r="I883" s="14" t="n"/>
      <c r="K883" s="14" t="n"/>
      <c r="L883" s="14" t="n"/>
      <c r="R883" s="14" t="n"/>
      <c r="S883" s="14" t="n"/>
      <c r="T883" s="14" t="n"/>
      <c r="U883" s="14" t="n"/>
    </row>
    <row r="884">
      <c r="H884" s="14" t="n"/>
      <c r="I884" s="14" t="n"/>
      <c r="K884" s="14" t="n"/>
      <c r="L884" s="14" t="n"/>
      <c r="R884" s="14" t="n"/>
      <c r="S884" s="14" t="n"/>
      <c r="T884" s="14" t="n"/>
      <c r="U884" s="14" t="n"/>
    </row>
    <row r="885">
      <c r="H885" s="14" t="n"/>
      <c r="I885" s="14" t="n"/>
      <c r="K885" s="14" t="n"/>
      <c r="L885" s="14" t="n"/>
      <c r="R885" s="14" t="n"/>
      <c r="S885" s="14" t="n"/>
      <c r="T885" s="14" t="n"/>
      <c r="U885" s="14" t="n"/>
    </row>
    <row r="886">
      <c r="H886" s="14" t="n"/>
      <c r="I886" s="14" t="n"/>
      <c r="K886" s="14" t="n"/>
      <c r="L886" s="14" t="n"/>
      <c r="R886" s="14" t="n"/>
      <c r="S886" s="14" t="n"/>
      <c r="T886" s="14" t="n"/>
      <c r="U886" s="14" t="n"/>
    </row>
    <row r="887">
      <c r="H887" s="14" t="n"/>
      <c r="I887" s="14" t="n"/>
      <c r="K887" s="14" t="n"/>
      <c r="L887" s="14" t="n"/>
      <c r="R887" s="14" t="n"/>
      <c r="S887" s="14" t="n"/>
      <c r="T887" s="14" t="n"/>
      <c r="U887" s="14" t="n"/>
    </row>
    <row r="888">
      <c r="H888" s="14" t="n"/>
      <c r="I888" s="14" t="n"/>
      <c r="K888" s="14" t="n"/>
      <c r="L888" s="14" t="n"/>
      <c r="R888" s="14" t="n"/>
      <c r="S888" s="14" t="n"/>
      <c r="T888" s="14" t="n"/>
      <c r="U888" s="14" t="n"/>
    </row>
    <row r="889">
      <c r="H889" s="14" t="n"/>
      <c r="I889" s="14" t="n"/>
      <c r="K889" s="14" t="n"/>
      <c r="L889" s="14" t="n"/>
      <c r="R889" s="14" t="n"/>
      <c r="S889" s="14" t="n"/>
      <c r="T889" s="14" t="n"/>
      <c r="U889" s="14" t="n"/>
    </row>
    <row r="890">
      <c r="H890" s="14" t="n"/>
      <c r="I890" s="14" t="n"/>
      <c r="K890" s="14" t="n"/>
      <c r="L890" s="14" t="n"/>
      <c r="R890" s="14" t="n"/>
      <c r="S890" s="14" t="n"/>
      <c r="T890" s="14" t="n"/>
      <c r="U890" s="14" t="n"/>
    </row>
    <row r="891">
      <c r="H891" s="14" t="n"/>
      <c r="I891" s="14" t="n"/>
      <c r="K891" s="14" t="n"/>
      <c r="L891" s="14" t="n"/>
      <c r="R891" s="14" t="n"/>
      <c r="S891" s="14" t="n"/>
      <c r="T891" s="14" t="n"/>
      <c r="U891" s="14" t="n"/>
    </row>
    <row r="892">
      <c r="H892" s="14" t="n"/>
      <c r="I892" s="14" t="n"/>
      <c r="K892" s="14" t="n"/>
      <c r="L892" s="14" t="n"/>
      <c r="R892" s="14" t="n"/>
      <c r="S892" s="14" t="n"/>
      <c r="T892" s="14" t="n"/>
      <c r="U892" s="14" t="n"/>
    </row>
    <row r="893">
      <c r="H893" s="14" t="n"/>
      <c r="I893" s="14" t="n"/>
      <c r="K893" s="14" t="n"/>
      <c r="L893" s="14" t="n"/>
      <c r="R893" s="14" t="n"/>
      <c r="S893" s="14" t="n"/>
      <c r="T893" s="14" t="n"/>
      <c r="U893" s="14" t="n"/>
    </row>
    <row r="894">
      <c r="H894" s="14" t="n"/>
      <c r="I894" s="14" t="n"/>
      <c r="K894" s="14" t="n"/>
      <c r="L894" s="14" t="n"/>
      <c r="R894" s="14" t="n"/>
      <c r="S894" s="14" t="n"/>
      <c r="T894" s="14" t="n"/>
      <c r="U894" s="14" t="n"/>
    </row>
    <row r="895">
      <c r="H895" s="14" t="n"/>
      <c r="I895" s="14" t="n"/>
      <c r="K895" s="14" t="n"/>
      <c r="L895" s="14" t="n"/>
      <c r="R895" s="14" t="n"/>
      <c r="S895" s="14" t="n"/>
      <c r="T895" s="14" t="n"/>
      <c r="U895" s="14" t="n"/>
    </row>
    <row r="896">
      <c r="H896" s="14" t="n"/>
      <c r="I896" s="14" t="n"/>
      <c r="K896" s="14" t="n"/>
      <c r="L896" s="14" t="n"/>
      <c r="R896" s="14" t="n"/>
      <c r="S896" s="14" t="n"/>
      <c r="T896" s="14" t="n"/>
      <c r="U896" s="14" t="n"/>
    </row>
    <row r="897">
      <c r="H897" s="14" t="n"/>
      <c r="I897" s="14" t="n"/>
      <c r="K897" s="14" t="n"/>
      <c r="L897" s="14" t="n"/>
      <c r="R897" s="14" t="n"/>
      <c r="S897" s="14" t="n"/>
      <c r="T897" s="14" t="n"/>
      <c r="U897" s="14" t="n"/>
    </row>
    <row r="898">
      <c r="H898" s="14" t="n"/>
      <c r="I898" s="14" t="n"/>
      <c r="K898" s="14" t="n"/>
      <c r="L898" s="14" t="n"/>
      <c r="R898" s="14" t="n"/>
      <c r="S898" s="14" t="n"/>
      <c r="T898" s="14" t="n"/>
      <c r="U898" s="14" t="n"/>
    </row>
    <row r="899">
      <c r="H899" s="14" t="n"/>
      <c r="I899" s="14" t="n"/>
      <c r="K899" s="14" t="n"/>
      <c r="L899" s="14" t="n"/>
      <c r="R899" s="14" t="n"/>
      <c r="S899" s="14" t="n"/>
      <c r="T899" s="14" t="n"/>
      <c r="U899" s="14" t="n"/>
    </row>
    <row r="900">
      <c r="H900" s="14" t="n"/>
      <c r="I900" s="14" t="n"/>
      <c r="K900" s="14" t="n"/>
      <c r="L900" s="14" t="n"/>
      <c r="R900" s="14" t="n"/>
      <c r="S900" s="14" t="n"/>
      <c r="T900" s="14" t="n"/>
      <c r="U900" s="14" t="n"/>
    </row>
    <row r="901">
      <c r="H901" s="14" t="n"/>
      <c r="I901" s="14" t="n"/>
      <c r="K901" s="14" t="n"/>
      <c r="L901" s="14" t="n"/>
      <c r="R901" s="14" t="n"/>
      <c r="S901" s="14" t="n"/>
      <c r="T901" s="14" t="n"/>
      <c r="U901" s="14" t="n"/>
    </row>
    <row r="902">
      <c r="H902" s="14" t="n"/>
      <c r="I902" s="14" t="n"/>
      <c r="K902" s="14" t="n"/>
      <c r="L902" s="14" t="n"/>
      <c r="R902" s="14" t="n"/>
      <c r="S902" s="14" t="n"/>
      <c r="T902" s="14" t="n"/>
      <c r="U902" s="14" t="n"/>
    </row>
    <row r="903">
      <c r="H903" s="14" t="n"/>
      <c r="I903" s="14" t="n"/>
      <c r="K903" s="14" t="n"/>
      <c r="L903" s="14" t="n"/>
      <c r="R903" s="14" t="n"/>
      <c r="S903" s="14" t="n"/>
      <c r="T903" s="14" t="n"/>
      <c r="U903" s="14" t="n"/>
    </row>
    <row r="904">
      <c r="H904" s="14" t="n"/>
      <c r="I904" s="14" t="n"/>
      <c r="K904" s="14" t="n"/>
      <c r="L904" s="14" t="n"/>
      <c r="R904" s="14" t="n"/>
      <c r="S904" s="14" t="n"/>
      <c r="T904" s="14" t="n"/>
      <c r="U904" s="14" t="n"/>
    </row>
    <row r="905">
      <c r="H905" s="14" t="n"/>
      <c r="I905" s="14" t="n"/>
      <c r="K905" s="14" t="n"/>
      <c r="L905" s="14" t="n"/>
      <c r="R905" s="14" t="n"/>
      <c r="S905" s="14" t="n"/>
      <c r="T905" s="14" t="n"/>
      <c r="U905" s="14" t="n"/>
    </row>
    <row r="906">
      <c r="H906" s="14" t="n"/>
      <c r="I906" s="14" t="n"/>
      <c r="K906" s="14" t="n"/>
      <c r="L906" s="14" t="n"/>
      <c r="R906" s="14" t="n"/>
      <c r="S906" s="14" t="n"/>
      <c r="T906" s="14" t="n"/>
      <c r="U906" s="14" t="n"/>
    </row>
    <row r="907">
      <c r="H907" s="14" t="n"/>
      <c r="I907" s="14" t="n"/>
      <c r="K907" s="14" t="n"/>
      <c r="L907" s="14" t="n"/>
      <c r="R907" s="14" t="n"/>
      <c r="S907" s="14" t="n"/>
      <c r="T907" s="14" t="n"/>
      <c r="U907" s="14" t="n"/>
    </row>
    <row r="908">
      <c r="H908" s="14" t="n"/>
      <c r="I908" s="14" t="n"/>
      <c r="K908" s="14" t="n"/>
      <c r="L908" s="14" t="n"/>
      <c r="R908" s="14" t="n"/>
      <c r="S908" s="14" t="n"/>
      <c r="T908" s="14" t="n"/>
      <c r="U908" s="14" t="n"/>
    </row>
    <row r="909">
      <c r="H909" s="14" t="n"/>
      <c r="I909" s="14" t="n"/>
      <c r="K909" s="14" t="n"/>
      <c r="L909" s="14" t="n"/>
      <c r="R909" s="14" t="n"/>
      <c r="S909" s="14" t="n"/>
      <c r="T909" s="14" t="n"/>
      <c r="U909" s="14" t="n"/>
    </row>
    <row r="910">
      <c r="H910" s="14" t="n"/>
      <c r="I910" s="14" t="n"/>
      <c r="K910" s="14" t="n"/>
      <c r="L910" s="14" t="n"/>
      <c r="R910" s="14" t="n"/>
      <c r="S910" s="14" t="n"/>
      <c r="T910" s="14" t="n"/>
      <c r="U910" s="14" t="n"/>
    </row>
    <row r="911">
      <c r="H911" s="14" t="n"/>
      <c r="I911" s="14" t="n"/>
      <c r="K911" s="14" t="n"/>
      <c r="L911" s="14" t="n"/>
      <c r="R911" s="14" t="n"/>
      <c r="S911" s="14" t="n"/>
      <c r="T911" s="14" t="n"/>
      <c r="U911" s="14" t="n"/>
    </row>
    <row r="912">
      <c r="H912" s="14" t="n"/>
      <c r="I912" s="14" t="n"/>
      <c r="K912" s="14" t="n"/>
      <c r="L912" s="14" t="n"/>
      <c r="R912" s="14" t="n"/>
      <c r="S912" s="14" t="n"/>
      <c r="T912" s="14" t="n"/>
      <c r="U912" s="14" t="n"/>
    </row>
    <row r="913">
      <c r="H913" s="14" t="n"/>
      <c r="I913" s="14" t="n"/>
      <c r="K913" s="14" t="n"/>
      <c r="L913" s="14" t="n"/>
      <c r="R913" s="14" t="n"/>
      <c r="S913" s="14" t="n"/>
      <c r="T913" s="14" t="n"/>
      <c r="U913" s="14" t="n"/>
    </row>
    <row r="914">
      <c r="H914" s="14" t="n"/>
      <c r="I914" s="14" t="n"/>
      <c r="K914" s="14" t="n"/>
      <c r="L914" s="14" t="n"/>
      <c r="R914" s="14" t="n"/>
      <c r="S914" s="14" t="n"/>
      <c r="T914" s="14" t="n"/>
      <c r="U914" s="14" t="n"/>
    </row>
    <row r="915">
      <c r="H915" s="14" t="n"/>
      <c r="I915" s="14" t="n"/>
      <c r="K915" s="14" t="n"/>
      <c r="L915" s="14" t="n"/>
      <c r="R915" s="14" t="n"/>
      <c r="S915" s="14" t="n"/>
      <c r="T915" s="14" t="n"/>
      <c r="U915" s="14" t="n"/>
    </row>
    <row r="916">
      <c r="H916" s="14" t="n"/>
      <c r="I916" s="14" t="n"/>
      <c r="K916" s="14" t="n"/>
      <c r="L916" s="14" t="n"/>
      <c r="R916" s="14" t="n"/>
      <c r="S916" s="14" t="n"/>
      <c r="T916" s="14" t="n"/>
      <c r="U916" s="14" t="n"/>
    </row>
    <row r="917">
      <c r="H917" s="14" t="n"/>
      <c r="I917" s="14" t="n"/>
      <c r="K917" s="14" t="n"/>
      <c r="L917" s="14" t="n"/>
      <c r="R917" s="14" t="n"/>
      <c r="S917" s="14" t="n"/>
      <c r="T917" s="14" t="n"/>
      <c r="U917" s="14" t="n"/>
    </row>
    <row r="918">
      <c r="H918" s="14" t="n"/>
      <c r="I918" s="14" t="n"/>
      <c r="K918" s="14" t="n"/>
      <c r="L918" s="14" t="n"/>
      <c r="R918" s="14" t="n"/>
      <c r="S918" s="14" t="n"/>
      <c r="T918" s="14" t="n"/>
      <c r="U918" s="14" t="n"/>
    </row>
    <row r="919">
      <c r="H919" s="14" t="n"/>
      <c r="I919" s="14" t="n"/>
      <c r="K919" s="14" t="n"/>
      <c r="L919" s="14" t="n"/>
      <c r="R919" s="14" t="n"/>
      <c r="S919" s="14" t="n"/>
      <c r="T919" s="14" t="n"/>
      <c r="U919" s="14" t="n"/>
    </row>
    <row r="920">
      <c r="H920" s="14" t="n"/>
      <c r="I920" s="14" t="n"/>
      <c r="K920" s="14" t="n"/>
      <c r="L920" s="14" t="n"/>
      <c r="R920" s="14" t="n"/>
      <c r="S920" s="14" t="n"/>
      <c r="T920" s="14" t="n"/>
      <c r="U920" s="14" t="n"/>
    </row>
    <row r="921">
      <c r="H921" s="14" t="n"/>
      <c r="I921" s="14" t="n"/>
      <c r="K921" s="14" t="n"/>
      <c r="L921" s="14" t="n"/>
      <c r="R921" s="14" t="n"/>
      <c r="S921" s="14" t="n"/>
      <c r="T921" s="14" t="n"/>
      <c r="U921" s="14" t="n"/>
    </row>
    <row r="922">
      <c r="H922" s="14" t="n"/>
      <c r="I922" s="14" t="n"/>
      <c r="K922" s="14" t="n"/>
      <c r="L922" s="14" t="n"/>
      <c r="R922" s="14" t="n"/>
      <c r="S922" s="14" t="n"/>
      <c r="T922" s="14" t="n"/>
      <c r="U922" s="14" t="n"/>
    </row>
    <row r="923">
      <c r="H923" s="14" t="n"/>
      <c r="I923" s="14" t="n"/>
      <c r="K923" s="14" t="n"/>
      <c r="L923" s="14" t="n"/>
      <c r="R923" s="14" t="n"/>
      <c r="S923" s="14" t="n"/>
      <c r="T923" s="14" t="n"/>
      <c r="U923" s="14" t="n"/>
    </row>
    <row r="924">
      <c r="H924" s="14" t="n"/>
      <c r="I924" s="14" t="n"/>
      <c r="K924" s="14" t="n"/>
      <c r="L924" s="14" t="n"/>
      <c r="R924" s="14" t="n"/>
      <c r="S924" s="14" t="n"/>
      <c r="T924" s="14" t="n"/>
      <c r="U924" s="14" t="n"/>
    </row>
    <row r="925">
      <c r="H925" s="14" t="n"/>
      <c r="I925" s="14" t="n"/>
      <c r="K925" s="14" t="n"/>
      <c r="L925" s="14" t="n"/>
      <c r="R925" s="14" t="n"/>
      <c r="S925" s="14" t="n"/>
      <c r="T925" s="14" t="n"/>
      <c r="U925" s="14" t="n"/>
    </row>
    <row r="926">
      <c r="H926" s="14" t="n"/>
      <c r="I926" s="14" t="n"/>
      <c r="K926" s="14" t="n"/>
      <c r="L926" s="14" t="n"/>
      <c r="R926" s="14" t="n"/>
      <c r="S926" s="14" t="n"/>
      <c r="T926" s="14" t="n"/>
      <c r="U926" s="14" t="n"/>
    </row>
    <row r="927">
      <c r="H927" s="14" t="n"/>
      <c r="I927" s="14" t="n"/>
      <c r="K927" s="14" t="n"/>
      <c r="L927" s="14" t="n"/>
      <c r="R927" s="14" t="n"/>
      <c r="S927" s="14" t="n"/>
      <c r="T927" s="14" t="n"/>
      <c r="U927" s="14" t="n"/>
    </row>
    <row r="928">
      <c r="H928" s="14" t="n"/>
      <c r="I928" s="14" t="n"/>
      <c r="K928" s="14" t="n"/>
      <c r="L928" s="14" t="n"/>
      <c r="R928" s="14" t="n"/>
      <c r="S928" s="14" t="n"/>
      <c r="T928" s="14" t="n"/>
      <c r="U928" s="14" t="n"/>
    </row>
    <row r="929">
      <c r="H929" s="14" t="n"/>
      <c r="I929" s="14" t="n"/>
      <c r="K929" s="14" t="n"/>
      <c r="L929" s="14" t="n"/>
      <c r="R929" s="14" t="n"/>
      <c r="S929" s="14" t="n"/>
      <c r="T929" s="14" t="n"/>
      <c r="U929" s="14" t="n"/>
    </row>
    <row r="930">
      <c r="H930" s="14" t="n"/>
      <c r="I930" s="14" t="n"/>
      <c r="K930" s="14" t="n"/>
      <c r="L930" s="14" t="n"/>
      <c r="R930" s="14" t="n"/>
      <c r="S930" s="14" t="n"/>
      <c r="T930" s="14" t="n"/>
      <c r="U930" s="14" t="n"/>
    </row>
    <row r="931">
      <c r="H931" s="14" t="n"/>
      <c r="I931" s="14" t="n"/>
      <c r="K931" s="14" t="n"/>
      <c r="L931" s="14" t="n"/>
      <c r="R931" s="14" t="n"/>
      <c r="S931" s="14" t="n"/>
      <c r="T931" s="14" t="n"/>
      <c r="U931" s="14" t="n"/>
    </row>
    <row r="932">
      <c r="H932" s="14" t="n"/>
      <c r="I932" s="14" t="n"/>
      <c r="K932" s="14" t="n"/>
      <c r="L932" s="14" t="n"/>
      <c r="R932" s="14" t="n"/>
      <c r="S932" s="14" t="n"/>
      <c r="T932" s="14" t="n"/>
      <c r="U932" s="14" t="n"/>
    </row>
    <row r="933">
      <c r="H933" s="14" t="n"/>
      <c r="I933" s="14" t="n"/>
      <c r="K933" s="14" t="n"/>
      <c r="L933" s="14" t="n"/>
      <c r="R933" s="14" t="n"/>
      <c r="S933" s="14" t="n"/>
      <c r="T933" s="14" t="n"/>
      <c r="U933" s="14" t="n"/>
    </row>
    <row r="934">
      <c r="H934" s="14" t="n"/>
      <c r="I934" s="14" t="n"/>
      <c r="K934" s="14" t="n"/>
      <c r="L934" s="14" t="n"/>
      <c r="R934" s="14" t="n"/>
      <c r="S934" s="14" t="n"/>
      <c r="T934" s="14" t="n"/>
      <c r="U934" s="14" t="n"/>
    </row>
    <row r="935">
      <c r="H935" s="14" t="n"/>
      <c r="I935" s="14" t="n"/>
      <c r="K935" s="14" t="n"/>
      <c r="L935" s="14" t="n"/>
      <c r="R935" s="14" t="n"/>
      <c r="S935" s="14" t="n"/>
      <c r="T935" s="14" t="n"/>
      <c r="U935" s="14" t="n"/>
    </row>
    <row r="936">
      <c r="H936" s="14" t="n"/>
      <c r="I936" s="14" t="n"/>
      <c r="K936" s="14" t="n"/>
      <c r="L936" s="14" t="n"/>
      <c r="R936" s="14" t="n"/>
      <c r="S936" s="14" t="n"/>
      <c r="T936" s="14" t="n"/>
      <c r="U936" s="14" t="n"/>
    </row>
    <row r="937">
      <c r="H937" s="14" t="n"/>
      <c r="I937" s="14" t="n"/>
      <c r="K937" s="14" t="n"/>
      <c r="L937" s="14" t="n"/>
      <c r="R937" s="14" t="n"/>
      <c r="S937" s="14" t="n"/>
      <c r="T937" s="14" t="n"/>
      <c r="U937" s="14" t="n"/>
    </row>
    <row r="938">
      <c r="H938" s="14" t="n"/>
      <c r="I938" s="14" t="n"/>
      <c r="K938" s="14" t="n"/>
      <c r="L938" s="14" t="n"/>
      <c r="R938" s="14" t="n"/>
      <c r="S938" s="14" t="n"/>
      <c r="T938" s="14" t="n"/>
      <c r="U938" s="14" t="n"/>
    </row>
    <row r="939">
      <c r="H939" s="14" t="n"/>
      <c r="I939" s="14" t="n"/>
      <c r="K939" s="14" t="n"/>
      <c r="L939" s="14" t="n"/>
      <c r="R939" s="14" t="n"/>
      <c r="S939" s="14" t="n"/>
      <c r="T939" s="14" t="n"/>
      <c r="U939" s="14" t="n"/>
    </row>
    <row r="940">
      <c r="H940" s="14" t="n"/>
      <c r="I940" s="14" t="n"/>
      <c r="K940" s="14" t="n"/>
      <c r="L940" s="14" t="n"/>
      <c r="R940" s="14" t="n"/>
      <c r="S940" s="14" t="n"/>
      <c r="T940" s="14" t="n"/>
      <c r="U940" s="14" t="n"/>
    </row>
    <row r="941">
      <c r="H941" s="14" t="n"/>
      <c r="I941" s="14" t="n"/>
      <c r="K941" s="14" t="n"/>
      <c r="L941" s="14" t="n"/>
      <c r="R941" s="14" t="n"/>
      <c r="S941" s="14" t="n"/>
      <c r="T941" s="14" t="n"/>
      <c r="U941" s="14" t="n"/>
    </row>
    <row r="942">
      <c r="H942" s="14" t="n"/>
      <c r="I942" s="14" t="n"/>
      <c r="K942" s="14" t="n"/>
      <c r="L942" s="14" t="n"/>
      <c r="R942" s="14" t="n"/>
      <c r="S942" s="14" t="n"/>
      <c r="T942" s="14" t="n"/>
      <c r="U942" s="14" t="n"/>
    </row>
    <row r="943">
      <c r="H943" s="14" t="n"/>
      <c r="I943" s="14" t="n"/>
      <c r="K943" s="14" t="n"/>
      <c r="L943" s="14" t="n"/>
      <c r="R943" s="14" t="n"/>
      <c r="S943" s="14" t="n"/>
      <c r="T943" s="14" t="n"/>
      <c r="U943" s="14" t="n"/>
    </row>
    <row r="944">
      <c r="H944" s="14" t="n"/>
      <c r="I944" s="14" t="n"/>
      <c r="K944" s="14" t="n"/>
      <c r="L944" s="14" t="n"/>
      <c r="R944" s="14" t="n"/>
      <c r="S944" s="14" t="n"/>
      <c r="T944" s="14" t="n"/>
      <c r="U944" s="14" t="n"/>
    </row>
    <row r="945">
      <c r="H945" s="14" t="n"/>
      <c r="I945" s="14" t="n"/>
      <c r="K945" s="14" t="n"/>
      <c r="L945" s="14" t="n"/>
      <c r="R945" s="14" t="n"/>
      <c r="S945" s="14" t="n"/>
      <c r="T945" s="14" t="n"/>
      <c r="U945" s="14" t="n"/>
    </row>
    <row r="946">
      <c r="H946" s="14" t="n"/>
      <c r="I946" s="14" t="n"/>
      <c r="K946" s="14" t="n"/>
      <c r="L946" s="14" t="n"/>
      <c r="R946" s="14" t="n"/>
      <c r="S946" s="14" t="n"/>
      <c r="T946" s="14" t="n"/>
      <c r="U946" s="14" t="n"/>
    </row>
    <row r="947">
      <c r="H947" s="14" t="n"/>
      <c r="I947" s="14" t="n"/>
      <c r="K947" s="14" t="n"/>
      <c r="L947" s="14" t="n"/>
      <c r="R947" s="14" t="n"/>
      <c r="S947" s="14" t="n"/>
      <c r="T947" s="14" t="n"/>
      <c r="U947" s="14" t="n"/>
    </row>
    <row r="948">
      <c r="H948" s="14" t="n"/>
      <c r="I948" s="14" t="n"/>
      <c r="K948" s="14" t="n"/>
      <c r="L948" s="14" t="n"/>
      <c r="R948" s="14" t="n"/>
      <c r="S948" s="14" t="n"/>
      <c r="T948" s="14" t="n"/>
      <c r="U948" s="14" t="n"/>
    </row>
    <row r="949">
      <c r="H949" s="14" t="n"/>
      <c r="I949" s="14" t="n"/>
      <c r="K949" s="14" t="n"/>
      <c r="L949" s="14" t="n"/>
      <c r="R949" s="14" t="n"/>
      <c r="S949" s="14" t="n"/>
      <c r="T949" s="14" t="n"/>
      <c r="U949" s="14" t="n"/>
    </row>
    <row r="950">
      <c r="H950" s="14" t="n"/>
      <c r="I950" s="14" t="n"/>
      <c r="K950" s="14" t="n"/>
      <c r="L950" s="14" t="n"/>
      <c r="R950" s="14" t="n"/>
      <c r="S950" s="14" t="n"/>
      <c r="T950" s="14" t="n"/>
      <c r="U950" s="14" t="n"/>
    </row>
    <row r="951">
      <c r="H951" s="14" t="n"/>
      <c r="I951" s="14" t="n"/>
      <c r="K951" s="14" t="n"/>
      <c r="L951" s="14" t="n"/>
      <c r="R951" s="14" t="n"/>
      <c r="S951" s="14" t="n"/>
      <c r="T951" s="14" t="n"/>
      <c r="U951" s="14" t="n"/>
    </row>
    <row r="952">
      <c r="H952" s="14" t="n"/>
      <c r="I952" s="14" t="n"/>
      <c r="K952" s="14" t="n"/>
      <c r="L952" s="14" t="n"/>
      <c r="R952" s="14" t="n"/>
      <c r="S952" s="14" t="n"/>
      <c r="T952" s="14" t="n"/>
      <c r="U952" s="14" t="n"/>
    </row>
    <row r="953">
      <c r="H953" s="14" t="n"/>
      <c r="I953" s="14" t="n"/>
      <c r="K953" s="14" t="n"/>
      <c r="L953" s="14" t="n"/>
      <c r="R953" s="14" t="n"/>
      <c r="S953" s="14" t="n"/>
      <c r="T953" s="14" t="n"/>
      <c r="U953" s="14" t="n"/>
    </row>
    <row r="954">
      <c r="H954" s="14" t="n"/>
      <c r="I954" s="14" t="n"/>
      <c r="K954" s="14" t="n"/>
      <c r="L954" s="14" t="n"/>
      <c r="R954" s="14" t="n"/>
      <c r="S954" s="14" t="n"/>
      <c r="T954" s="14" t="n"/>
      <c r="U954" s="14" t="n"/>
    </row>
    <row r="955">
      <c r="H955" s="14" t="n"/>
      <c r="I955" s="14" t="n"/>
      <c r="K955" s="14" t="n"/>
      <c r="L955" s="14" t="n"/>
      <c r="R955" s="14" t="n"/>
      <c r="S955" s="14" t="n"/>
      <c r="T955" s="14" t="n"/>
      <c r="U955" s="14" t="n"/>
    </row>
    <row r="956">
      <c r="H956" s="14" t="n"/>
      <c r="I956" s="14" t="n"/>
      <c r="K956" s="14" t="n"/>
      <c r="L956" s="14" t="n"/>
      <c r="R956" s="14" t="n"/>
      <c r="S956" s="14" t="n"/>
      <c r="T956" s="14" t="n"/>
      <c r="U956" s="14" t="n"/>
    </row>
    <row r="957">
      <c r="H957" s="14" t="n"/>
      <c r="I957" s="14" t="n"/>
      <c r="K957" s="14" t="n"/>
      <c r="L957" s="14" t="n"/>
      <c r="R957" s="14" t="n"/>
      <c r="S957" s="14" t="n"/>
      <c r="T957" s="14" t="n"/>
      <c r="U957" s="14" t="n"/>
    </row>
    <row r="958">
      <c r="H958" s="14" t="n"/>
      <c r="I958" s="14" t="n"/>
      <c r="K958" s="14" t="n"/>
      <c r="L958" s="14" t="n"/>
      <c r="R958" s="14" t="n"/>
      <c r="S958" s="14" t="n"/>
      <c r="T958" s="14" t="n"/>
      <c r="U958" s="14" t="n"/>
    </row>
    <row r="959">
      <c r="H959" s="14" t="n"/>
      <c r="I959" s="14" t="n"/>
      <c r="K959" s="14" t="n"/>
      <c r="L959" s="14" t="n"/>
      <c r="R959" s="14" t="n"/>
      <c r="S959" s="14" t="n"/>
      <c r="T959" s="14" t="n"/>
      <c r="U959" s="14" t="n"/>
    </row>
    <row r="960">
      <c r="H960" s="14" t="n"/>
      <c r="I960" s="14" t="n"/>
      <c r="K960" s="14" t="n"/>
      <c r="L960" s="14" t="n"/>
      <c r="R960" s="14" t="n"/>
      <c r="S960" s="14" t="n"/>
      <c r="T960" s="14" t="n"/>
      <c r="U960" s="14" t="n"/>
    </row>
    <row r="961">
      <c r="H961" s="14" t="n"/>
      <c r="I961" s="14" t="n"/>
      <c r="K961" s="14" t="n"/>
      <c r="L961" s="14" t="n"/>
      <c r="R961" s="14" t="n"/>
      <c r="S961" s="14" t="n"/>
      <c r="T961" s="14" t="n"/>
      <c r="U961" s="14" t="n"/>
    </row>
    <row r="962">
      <c r="H962" s="14" t="n"/>
      <c r="I962" s="14" t="n"/>
      <c r="K962" s="14" t="n"/>
      <c r="L962" s="14" t="n"/>
      <c r="R962" s="14" t="n"/>
      <c r="S962" s="14" t="n"/>
      <c r="T962" s="14" t="n"/>
      <c r="U962" s="14" t="n"/>
    </row>
    <row r="963">
      <c r="H963" s="14" t="n"/>
      <c r="I963" s="14" t="n"/>
      <c r="K963" s="14" t="n"/>
      <c r="L963" s="14" t="n"/>
      <c r="R963" s="14" t="n"/>
      <c r="S963" s="14" t="n"/>
      <c r="T963" s="14" t="n"/>
      <c r="U963" s="14" t="n"/>
    </row>
    <row r="964">
      <c r="H964" s="14" t="n"/>
      <c r="I964" s="14" t="n"/>
      <c r="K964" s="14" t="n"/>
      <c r="L964" s="14" t="n"/>
      <c r="R964" s="14" t="n"/>
      <c r="S964" s="14" t="n"/>
      <c r="T964" s="14" t="n"/>
      <c r="U964" s="14" t="n"/>
    </row>
    <row r="965">
      <c r="H965" s="14" t="n"/>
      <c r="I965" s="14" t="n"/>
      <c r="K965" s="14" t="n"/>
      <c r="L965" s="14" t="n"/>
      <c r="R965" s="14" t="n"/>
      <c r="S965" s="14" t="n"/>
      <c r="T965" s="14" t="n"/>
      <c r="U965" s="14" t="n"/>
    </row>
    <row r="966">
      <c r="H966" s="14" t="n"/>
      <c r="I966" s="14" t="n"/>
      <c r="K966" s="14" t="n"/>
      <c r="L966" s="14" t="n"/>
      <c r="R966" s="14" t="n"/>
      <c r="S966" s="14" t="n"/>
      <c r="T966" s="14" t="n"/>
      <c r="U966" s="14" t="n"/>
    </row>
    <row r="967">
      <c r="H967" s="14" t="n"/>
      <c r="I967" s="14" t="n"/>
      <c r="K967" s="14" t="n"/>
      <c r="L967" s="14" t="n"/>
      <c r="R967" s="14" t="n"/>
      <c r="S967" s="14" t="n"/>
      <c r="T967" s="14" t="n"/>
      <c r="U967" s="14" t="n"/>
    </row>
    <row r="968">
      <c r="H968" s="14" t="n"/>
      <c r="I968" s="14" t="n"/>
      <c r="K968" s="14" t="n"/>
      <c r="L968" s="14" t="n"/>
      <c r="R968" s="14" t="n"/>
      <c r="S968" s="14" t="n"/>
      <c r="T968" s="14" t="n"/>
      <c r="U968" s="14" t="n"/>
    </row>
    <row r="969">
      <c r="H969" s="14" t="n"/>
      <c r="I969" s="14" t="n"/>
      <c r="K969" s="14" t="n"/>
      <c r="L969" s="14" t="n"/>
      <c r="R969" s="14" t="n"/>
      <c r="S969" s="14" t="n"/>
      <c r="T969" s="14" t="n"/>
      <c r="U969" s="14" t="n"/>
    </row>
    <row r="970">
      <c r="H970" s="14" t="n"/>
      <c r="I970" s="14" t="n"/>
      <c r="K970" s="14" t="n"/>
      <c r="L970" s="14" t="n"/>
      <c r="R970" s="14" t="n"/>
      <c r="S970" s="14" t="n"/>
      <c r="T970" s="14" t="n"/>
      <c r="U970" s="14" t="n"/>
    </row>
    <row r="971">
      <c r="H971" s="14" t="n"/>
      <c r="I971" s="14" t="n"/>
      <c r="K971" s="14" t="n"/>
      <c r="L971" s="14" t="n"/>
      <c r="R971" s="14" t="n"/>
      <c r="S971" s="14" t="n"/>
      <c r="T971" s="14" t="n"/>
      <c r="U971" s="14" t="n"/>
    </row>
    <row r="972">
      <c r="H972" s="14" t="n"/>
      <c r="I972" s="14" t="n"/>
      <c r="K972" s="14" t="n"/>
      <c r="L972" s="14" t="n"/>
      <c r="R972" s="14" t="n"/>
      <c r="S972" s="14" t="n"/>
      <c r="T972" s="14" t="n"/>
      <c r="U972" s="14" t="n"/>
    </row>
    <row r="973">
      <c r="H973" s="14" t="n"/>
      <c r="I973" s="14" t="n"/>
      <c r="K973" s="14" t="n"/>
      <c r="L973" s="14" t="n"/>
      <c r="R973" s="14" t="n"/>
      <c r="S973" s="14" t="n"/>
      <c r="T973" s="14" t="n"/>
      <c r="U973" s="14" t="n"/>
    </row>
    <row r="974">
      <c r="H974" s="14" t="n"/>
      <c r="I974" s="14" t="n"/>
      <c r="K974" s="14" t="n"/>
      <c r="L974" s="14" t="n"/>
      <c r="R974" s="14" t="n"/>
      <c r="S974" s="14" t="n"/>
      <c r="T974" s="14" t="n"/>
      <c r="U974" s="14" t="n"/>
    </row>
    <row r="975">
      <c r="H975" s="14" t="n"/>
      <c r="I975" s="14" t="n"/>
      <c r="K975" s="14" t="n"/>
      <c r="L975" s="14" t="n"/>
      <c r="R975" s="14" t="n"/>
      <c r="S975" s="14" t="n"/>
      <c r="T975" s="14" t="n"/>
      <c r="U975" s="14" t="n"/>
    </row>
    <row r="976">
      <c r="H976" s="14" t="n"/>
      <c r="I976" s="14" t="n"/>
      <c r="K976" s="14" t="n"/>
      <c r="L976" s="14" t="n"/>
      <c r="R976" s="14" t="n"/>
      <c r="S976" s="14" t="n"/>
      <c r="T976" s="14" t="n"/>
      <c r="U976" s="14" t="n"/>
    </row>
    <row r="977">
      <c r="H977" s="14" t="n"/>
      <c r="I977" s="14" t="n"/>
      <c r="K977" s="14" t="n"/>
      <c r="L977" s="14" t="n"/>
      <c r="R977" s="14" t="n"/>
      <c r="S977" s="14" t="n"/>
      <c r="T977" s="14" t="n"/>
      <c r="U977" s="14" t="n"/>
    </row>
    <row r="978">
      <c r="H978" s="14" t="n"/>
      <c r="I978" s="14" t="n"/>
      <c r="K978" s="14" t="n"/>
      <c r="L978" s="14" t="n"/>
      <c r="R978" s="14" t="n"/>
      <c r="S978" s="14" t="n"/>
      <c r="T978" s="14" t="n"/>
      <c r="U978" s="14" t="n"/>
    </row>
    <row r="979">
      <c r="H979" s="14" t="n"/>
      <c r="I979" s="14" t="n"/>
      <c r="K979" s="14" t="n"/>
      <c r="L979" s="14" t="n"/>
      <c r="R979" s="14" t="n"/>
      <c r="S979" s="14" t="n"/>
      <c r="T979" s="14" t="n"/>
      <c r="U979" s="14" t="n"/>
    </row>
    <row r="980">
      <c r="H980" s="14" t="n"/>
      <c r="I980" s="14" t="n"/>
      <c r="K980" s="14" t="n"/>
      <c r="L980" s="14" t="n"/>
      <c r="R980" s="14" t="n"/>
      <c r="S980" s="14" t="n"/>
      <c r="T980" s="14" t="n"/>
      <c r="U980" s="14" t="n"/>
    </row>
    <row r="981">
      <c r="H981" s="14" t="n"/>
      <c r="I981" s="14" t="n"/>
      <c r="K981" s="14" t="n"/>
      <c r="L981" s="14" t="n"/>
      <c r="R981" s="14" t="n"/>
      <c r="S981" s="14" t="n"/>
      <c r="T981" s="14" t="n"/>
      <c r="U981" s="14" t="n"/>
    </row>
    <row r="982">
      <c r="H982" s="14" t="n"/>
      <c r="I982" s="14" t="n"/>
      <c r="K982" s="14" t="n"/>
      <c r="L982" s="14" t="n"/>
      <c r="R982" s="14" t="n"/>
      <c r="S982" s="14" t="n"/>
      <c r="T982" s="14" t="n"/>
      <c r="U982" s="14" t="n"/>
    </row>
    <row r="983">
      <c r="H983" s="14" t="n"/>
      <c r="I983" s="14" t="n"/>
      <c r="K983" s="14" t="n"/>
      <c r="L983" s="14" t="n"/>
      <c r="R983" s="14" t="n"/>
      <c r="S983" s="14" t="n"/>
      <c r="T983" s="14" t="n"/>
      <c r="U983" s="14" t="n"/>
    </row>
    <row r="984">
      <c r="H984" s="14" t="n"/>
      <c r="I984" s="14" t="n"/>
      <c r="K984" s="14" t="n"/>
      <c r="L984" s="14" t="n"/>
      <c r="R984" s="14" t="n"/>
      <c r="S984" s="14" t="n"/>
      <c r="T984" s="14" t="n"/>
      <c r="U984" s="14" t="n"/>
    </row>
    <row r="985">
      <c r="H985" s="14" t="n"/>
      <c r="I985" s="14" t="n"/>
      <c r="K985" s="14" t="n"/>
      <c r="L985" s="14" t="n"/>
      <c r="R985" s="14" t="n"/>
      <c r="S985" s="14" t="n"/>
      <c r="T985" s="14" t="n"/>
      <c r="U985" s="14" t="n"/>
    </row>
    <row r="986">
      <c r="H986" s="14" t="n"/>
      <c r="I986" s="14" t="n"/>
      <c r="K986" s="14" t="n"/>
      <c r="L986" s="14" t="n"/>
      <c r="R986" s="14" t="n"/>
      <c r="S986" s="14" t="n"/>
      <c r="T986" s="14" t="n"/>
      <c r="U986" s="14" t="n"/>
    </row>
    <row r="987">
      <c r="H987" s="14" t="n"/>
      <c r="I987" s="14" t="n"/>
      <c r="K987" s="14" t="n"/>
      <c r="L987" s="14" t="n"/>
      <c r="R987" s="14" t="n"/>
      <c r="S987" s="14" t="n"/>
      <c r="T987" s="14" t="n"/>
      <c r="U987" s="14" t="n"/>
    </row>
    <row r="988">
      <c r="H988" s="14" t="n"/>
      <c r="I988" s="14" t="n"/>
      <c r="K988" s="14" t="n"/>
      <c r="L988" s="14" t="n"/>
      <c r="R988" s="14" t="n"/>
      <c r="S988" s="14" t="n"/>
      <c r="T988" s="14" t="n"/>
      <c r="U988" s="14" t="n"/>
    </row>
    <row r="989">
      <c r="H989" s="14" t="n"/>
      <c r="I989" s="14" t="n"/>
      <c r="K989" s="14" t="n"/>
      <c r="L989" s="14" t="n"/>
      <c r="R989" s="14" t="n"/>
      <c r="S989" s="14" t="n"/>
      <c r="T989" s="14" t="n"/>
      <c r="U989" s="14" t="n"/>
    </row>
    <row r="990">
      <c r="H990" s="14" t="n"/>
      <c r="I990" s="14" t="n"/>
      <c r="K990" s="14" t="n"/>
      <c r="L990" s="14" t="n"/>
      <c r="R990" s="14" t="n"/>
      <c r="S990" s="14" t="n"/>
      <c r="T990" s="14" t="n"/>
      <c r="U990" s="14" t="n"/>
    </row>
    <row r="991">
      <c r="H991" s="14" t="n"/>
      <c r="I991" s="14" t="n"/>
      <c r="K991" s="14" t="n"/>
      <c r="L991" s="14" t="n"/>
      <c r="R991" s="14" t="n"/>
      <c r="S991" s="14" t="n"/>
      <c r="T991" s="14" t="n"/>
      <c r="U991" s="14" t="n"/>
    </row>
    <row r="992">
      <c r="H992" s="14" t="n"/>
      <c r="I992" s="14" t="n"/>
      <c r="K992" s="14" t="n"/>
      <c r="L992" s="14" t="n"/>
      <c r="R992" s="14" t="n"/>
      <c r="S992" s="14" t="n"/>
      <c r="T992" s="14" t="n"/>
      <c r="U992" s="14" t="n"/>
    </row>
    <row r="993">
      <c r="H993" s="14" t="n"/>
      <c r="I993" s="14" t="n"/>
      <c r="K993" s="14" t="n"/>
      <c r="L993" s="14" t="n"/>
      <c r="R993" s="14" t="n"/>
      <c r="S993" s="14" t="n"/>
      <c r="T993" s="14" t="n"/>
      <c r="U993" s="14" t="n"/>
    </row>
    <row r="994">
      <c r="H994" s="14" t="n"/>
      <c r="I994" s="14" t="n"/>
      <c r="K994" s="14" t="n"/>
      <c r="L994" s="14" t="n"/>
      <c r="R994" s="14" t="n"/>
      <c r="S994" s="14" t="n"/>
      <c r="T994" s="14" t="n"/>
      <c r="U994" s="14" t="n"/>
    </row>
    <row r="995">
      <c r="H995" s="14" t="n"/>
      <c r="I995" s="14" t="n"/>
      <c r="K995" s="14" t="n"/>
      <c r="L995" s="14" t="n"/>
      <c r="R995" s="14" t="n"/>
      <c r="S995" s="14" t="n"/>
      <c r="T995" s="14" t="n"/>
      <c r="U995" s="14" t="n"/>
    </row>
    <row r="996">
      <c r="H996" s="14" t="n"/>
      <c r="I996" s="14" t="n"/>
      <c r="K996" s="14" t="n"/>
      <c r="L996" s="14" t="n"/>
      <c r="R996" s="14" t="n"/>
      <c r="S996" s="14" t="n"/>
      <c r="T996" s="14" t="n"/>
      <c r="U996" s="14" t="n"/>
    </row>
    <row r="997">
      <c r="H997" s="14" t="n"/>
      <c r="I997" s="14" t="n"/>
      <c r="K997" s="14" t="n"/>
      <c r="L997" s="14" t="n"/>
      <c r="R997" s="14" t="n"/>
      <c r="S997" s="14" t="n"/>
      <c r="T997" s="14" t="n"/>
      <c r="U997" s="14" t="n"/>
    </row>
    <row r="998">
      <c r="H998" s="14" t="n"/>
      <c r="I998" s="14" t="n"/>
      <c r="K998" s="14" t="n"/>
      <c r="L998" s="14" t="n"/>
      <c r="R998" s="14" t="n"/>
      <c r="S998" s="14" t="n"/>
      <c r="T998" s="14" t="n"/>
      <c r="U998" s="14" t="n"/>
    </row>
    <row r="999">
      <c r="H999" s="14" t="n"/>
      <c r="I999" s="14" t="n"/>
      <c r="K999" s="14" t="n"/>
      <c r="L999" s="14" t="n"/>
      <c r="R999" s="14" t="n"/>
      <c r="S999" s="14" t="n"/>
      <c r="T999" s="14" t="n"/>
      <c r="U999" s="14" t="n"/>
    </row>
    <row r="1000">
      <c r="H1000" s="14" t="n"/>
      <c r="I1000" s="14" t="n"/>
      <c r="K1000" s="14" t="n"/>
      <c r="L1000" s="14" t="n"/>
      <c r="R1000" s="14" t="n"/>
      <c r="S1000" s="14" t="n"/>
      <c r="T1000" s="14" t="n"/>
      <c r="U1000" s="14" t="n"/>
    </row>
    <row r="1001">
      <c r="H1001" s="14" t="n"/>
      <c r="I1001" s="14" t="n"/>
      <c r="K1001" s="14" t="n"/>
      <c r="L1001" s="14" t="n"/>
      <c r="R1001" s="14" t="n"/>
      <c r="S1001" s="14" t="n"/>
      <c r="T1001" s="14" t="n"/>
      <c r="U1001" s="14" t="n"/>
    </row>
    <row r="1002">
      <c r="H1002" s="14" t="n"/>
      <c r="I1002" s="14" t="n"/>
      <c r="K1002" s="14" t="n"/>
      <c r="L1002" s="14" t="n"/>
      <c r="R1002" s="14" t="n"/>
      <c r="S1002" s="14" t="n"/>
      <c r="T1002" s="14" t="n"/>
      <c r="U1002" s="14" t="n"/>
    </row>
    <row r="1003" ht="18" customHeight="1">
      <c r="A1003" s="23" t="inlineStr">
        <is>
          <t>TOTALS</t>
        </is>
      </c>
      <c r="H1003" s="16">
        <f>SUM(H3:H1002)</f>
        <v/>
      </c>
      <c r="K1003" s="16">
        <f>SUM(K3:K1002)</f>
        <v/>
      </c>
      <c r="L1003" s="16">
        <f>SUM(L3:L1002)</f>
        <v/>
      </c>
      <c r="R1003" s="16">
        <f>SUM(R3:R1002)</f>
        <v/>
      </c>
      <c r="S1003" s="16">
        <f>SUM(S3:S1002)</f>
        <v/>
      </c>
      <c r="T1003" s="16">
        <f>SUM(T3:T1002)</f>
        <v/>
      </c>
      <c r="U1003" s="16">
        <f>SUM(U3:U1002)</f>
        <v/>
      </c>
    </row>
  </sheetData>
  <autoFilter ref="A2:V2"/>
  <mergeCells count="1">
    <mergeCell ref="A1:V1"/>
  </mergeCells>
  <conditionalFormatting sqref="A3:V1002">
    <cfRule type="expression" priority="1" dxfId="0">
      <formula>$P3="Pending Payment"</formula>
    </cfRule>
    <cfRule type="expression" priority="2" dxfId="1">
      <formula>$P3="Dispatched"</formula>
    </cfRule>
    <cfRule type="expression" priority="3" dxfId="2">
      <formula>$P3="Cancelled"</formula>
    </cfRule>
  </conditionalFormatting>
  <conditionalFormatting sqref="U3:U1002">
    <cfRule type="cellIs" priority="4" operator="lessThan" dxfId="3">
      <formula>0</formula>
    </cfRule>
    <cfRule type="cellIs" priority="5" operator="greaterThan" dxfId="4">
      <formula>0</formula>
    </cfRule>
  </conditionalFormatting>
  <dataValidations count="4">
    <dataValidation sqref="P3:P1002" showDropDown="0" showInputMessage="0" showErrorMessage="0" allowBlank="1" type="list">
      <formula1>"Pending Payment,Paid,Processing,Dispatched,Delivered,Cancelled,Refunded"</formula1>
    </dataValidation>
    <dataValidation sqref="M3:M1002" showDropDown="0" showInputMessage="0" showErrorMessage="0" allowBlank="1" type="list">
      <formula1>"GoCardless,PsiFi,Bank Transfer"</formula1>
    </dataValidation>
    <dataValidation sqref="O3:O1002" showDropDown="0" showInputMessage="0" showErrorMessage="0" allowBlank="1" type="list">
      <formula1>"UK,EU"</formula1>
    </dataValidation>
    <dataValidation sqref="N3:N1002" showDropDown="0" showInputMessage="0" showErrorMessage="0" allowBlank="1" type="list">
      <formula1>"GBP,EUR"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S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1" customWidth="1" min="5" max="5"/>
    <col width="14" customWidth="1" min="6" max="6"/>
    <col width="12" customWidth="1" min="7" max="7"/>
    <col width="11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 ht="22" customHeight="1">
      <c r="A1" s="1" t="inlineStr">
        <is>
          <t>CRP Labs Ltd — Velox Peptides  |  Product Catalogue &amp; Margin Analysis  |  17/05/2026</t>
        </is>
      </c>
    </row>
    <row r="2" ht="22" customHeight="1">
      <c r="A2" s="5" t="inlineStr">
        <is>
          <t>Product Name</t>
        </is>
      </c>
      <c r="B2" s="5" t="inlineStr">
        <is>
          <t>Category</t>
        </is>
      </c>
      <c r="C2" s="5" t="inlineStr">
        <is>
          <t>Variation</t>
        </is>
      </c>
      <c r="D2" s="5" t="inlineStr">
        <is>
          <t>RRP</t>
        </is>
      </c>
      <c r="E2" s="5" t="inlineStr">
        <is>
          <t>Cost Price</t>
        </is>
      </c>
      <c r="F2" s="5" t="inlineStr">
        <is>
          <t>Packaging (£3.80)</t>
        </is>
      </c>
      <c r="G2" s="5" t="inlineStr">
        <is>
          <t>Label (£0.50)</t>
        </is>
      </c>
      <c r="H2" s="5" t="inlineStr">
        <is>
          <t>Total Cost</t>
        </is>
      </c>
      <c r="I2" s="5" t="inlineStr">
        <is>
          <t>Gross Profit Per Unit</t>
        </is>
      </c>
      <c r="J2" s="5" t="inlineStr">
        <is>
          <t>Gross Margin %</t>
        </is>
      </c>
      <c r="K2" s="5" t="inlineStr">
        <is>
          <t>Units Sold MTD</t>
        </is>
      </c>
      <c r="L2" s="5" t="inlineStr">
        <is>
          <t>Units Sold YTD</t>
        </is>
      </c>
      <c r="M2" s="5" t="inlineStr">
        <is>
          <t>Revenue MTD</t>
        </is>
      </c>
      <c r="N2" s="5" t="inlineStr">
        <is>
          <t>Revenue YTD</t>
        </is>
      </c>
      <c r="O2" s="5" t="inlineStr">
        <is>
          <t>Profit MTD</t>
        </is>
      </c>
      <c r="P2" s="5" t="inlineStr">
        <is>
          <t>Profit YTD</t>
        </is>
      </c>
      <c r="Q2" s="5" t="inlineStr">
        <is>
          <t>Stock Level</t>
        </is>
      </c>
      <c r="R2" s="5" t="inlineStr">
        <is>
          <t>Low Stock Threshold</t>
        </is>
      </c>
      <c r="S2" s="5" t="inlineStr">
        <is>
          <t>Reorder Flag</t>
        </is>
      </c>
    </row>
    <row r="3">
      <c r="A3" s="8" t="inlineStr">
        <is>
          <t>BPC-157</t>
        </is>
      </c>
      <c r="B3" s="8" t="inlineStr">
        <is>
          <t>Repair &amp; Recovery</t>
        </is>
      </c>
      <c r="C3" s="8" t="inlineStr">
        <is>
          <t>5mg</t>
        </is>
      </c>
      <c r="D3" s="14" t="n">
        <v>19.99</v>
      </c>
      <c r="E3" s="14" t="n">
        <v>3.9</v>
      </c>
      <c r="F3" s="14" t="n">
        <v>3.8</v>
      </c>
      <c r="G3" s="14" t="n">
        <v>0.5</v>
      </c>
      <c r="H3" s="14">
        <f>E3+F3+G3</f>
        <v/>
      </c>
      <c r="I3" s="14">
        <f>D3-H3</f>
        <v/>
      </c>
      <c r="J3" s="15">
        <f>IF(D3=0,0,I3/D3)</f>
        <v/>
      </c>
      <c r="K3" t="n">
        <v>0</v>
      </c>
      <c r="L3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t="n">
        <v>12</v>
      </c>
      <c r="R3" t="n">
        <v>8</v>
      </c>
      <c r="S3" s="24">
        <f>IF(Q3&lt;=R3,"YES","")</f>
        <v/>
      </c>
    </row>
    <row r="4">
      <c r="A4" s="8" t="inlineStr">
        <is>
          <t>BPC-157</t>
        </is>
      </c>
      <c r="B4" s="8" t="inlineStr">
        <is>
          <t>Repair &amp; Recovery</t>
        </is>
      </c>
      <c r="C4" s="8" t="inlineStr">
        <is>
          <t>10mg</t>
        </is>
      </c>
      <c r="D4" s="14" t="n">
        <v>34.99</v>
      </c>
      <c r="E4" s="14" t="n">
        <v>4.9</v>
      </c>
      <c r="F4" s="14" t="n">
        <v>3.8</v>
      </c>
      <c r="G4" s="14" t="n">
        <v>0.5</v>
      </c>
      <c r="H4" s="14">
        <f>E4+F4+G4</f>
        <v/>
      </c>
      <c r="I4" s="14">
        <f>D4-H4</f>
        <v/>
      </c>
      <c r="J4" s="15">
        <f>IF(D4=0,0,I4/D4)</f>
        <v/>
      </c>
      <c r="K4" t="n">
        <v>0</v>
      </c>
      <c r="L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t="n">
        <v>8</v>
      </c>
      <c r="R4" t="n">
        <v>8</v>
      </c>
      <c r="S4" s="24">
        <f>IF(Q4&lt;=R4,"YES","")</f>
        <v/>
      </c>
    </row>
    <row r="5">
      <c r="A5" s="8" t="inlineStr">
        <is>
          <t>TB-500</t>
        </is>
      </c>
      <c r="B5" s="8" t="inlineStr">
        <is>
          <t>Repair &amp; Recovery</t>
        </is>
      </c>
      <c r="C5" s="8" t="inlineStr">
        <is>
          <t>5mg</t>
        </is>
      </c>
      <c r="D5" s="14" t="n">
        <v>24.99</v>
      </c>
      <c r="E5" s="14" t="n">
        <v>6.9</v>
      </c>
      <c r="F5" s="14" t="n">
        <v>3.8</v>
      </c>
      <c r="G5" s="14" t="n">
        <v>0.5</v>
      </c>
      <c r="H5" s="14">
        <f>E5+F5+G5</f>
        <v/>
      </c>
      <c r="I5" s="14">
        <f>D5-H5</f>
        <v/>
      </c>
      <c r="J5" s="15">
        <f>IF(D5=0,0,I5/D5)</f>
        <v/>
      </c>
      <c r="K5" t="n">
        <v>0</v>
      </c>
      <c r="L5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t="n">
        <v>6</v>
      </c>
      <c r="R5" t="n">
        <v>8</v>
      </c>
      <c r="S5" s="24">
        <f>IF(Q5&lt;=R5,"YES","")</f>
        <v/>
      </c>
    </row>
    <row r="6">
      <c r="A6" s="8" t="inlineStr">
        <is>
          <t>TB-500</t>
        </is>
      </c>
      <c r="B6" s="8" t="inlineStr">
        <is>
          <t>Repair &amp; Recovery</t>
        </is>
      </c>
      <c r="C6" s="8" t="inlineStr">
        <is>
          <t>10mg</t>
        </is>
      </c>
      <c r="D6" s="14" t="n">
        <v>39.99</v>
      </c>
      <c r="E6" s="14" t="n">
        <v>11.9</v>
      </c>
      <c r="F6" s="14" t="n">
        <v>3.8</v>
      </c>
      <c r="G6" s="14" t="n">
        <v>0.5</v>
      </c>
      <c r="H6" s="14">
        <f>E6+F6+G6</f>
        <v/>
      </c>
      <c r="I6" s="14">
        <f>D6-H6</f>
        <v/>
      </c>
      <c r="J6" s="15">
        <f>IF(D6=0,0,I6/D6)</f>
        <v/>
      </c>
      <c r="K6" t="n">
        <v>0</v>
      </c>
      <c r="L6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t="n">
        <v>6</v>
      </c>
      <c r="R6" t="n">
        <v>8</v>
      </c>
      <c r="S6" s="24">
        <f>IF(Q6&lt;=R6,"YES","")</f>
        <v/>
      </c>
    </row>
    <row r="7">
      <c r="A7" s="8" t="inlineStr">
        <is>
          <t>BPC-157 &amp; TB-500 Blend</t>
        </is>
      </c>
      <c r="B7" s="8" t="inlineStr">
        <is>
          <t>Repair &amp; Recovery</t>
        </is>
      </c>
      <c r="C7" s="8" t="inlineStr">
        <is>
          <t>10mg</t>
        </is>
      </c>
      <c r="D7" s="14" t="n">
        <v>49.99</v>
      </c>
      <c r="E7" s="14" t="n">
        <v>17.9</v>
      </c>
      <c r="F7" s="14" t="n">
        <v>3.8</v>
      </c>
      <c r="G7" s="14" t="n">
        <v>0.5</v>
      </c>
      <c r="H7" s="14">
        <f>E7+F7+G7</f>
        <v/>
      </c>
      <c r="I7" s="14">
        <f>D7-H7</f>
        <v/>
      </c>
      <c r="J7" s="15">
        <f>IF(D7=0,0,I7/D7)</f>
        <v/>
      </c>
      <c r="K7" t="n">
        <v>0</v>
      </c>
      <c r="L7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t="n">
        <v>5</v>
      </c>
      <c r="R7" t="n">
        <v>5</v>
      </c>
      <c r="S7" s="24">
        <f>IF(Q7&lt;=R7,"YES","")</f>
        <v/>
      </c>
    </row>
    <row r="8">
      <c r="A8" s="8" t="inlineStr">
        <is>
          <t>Semax</t>
        </is>
      </c>
      <c r="B8" s="8" t="inlineStr">
        <is>
          <t>Cognitive</t>
        </is>
      </c>
      <c r="C8" s="8" t="inlineStr">
        <is>
          <t>10mg</t>
        </is>
      </c>
      <c r="D8" s="14" t="n">
        <v>34.99</v>
      </c>
      <c r="E8" s="14" t="n">
        <v>4.9</v>
      </c>
      <c r="F8" s="14" t="n">
        <v>3.8</v>
      </c>
      <c r="G8" s="14" t="n">
        <v>0.5</v>
      </c>
      <c r="H8" s="14">
        <f>E8+F8+G8</f>
        <v/>
      </c>
      <c r="I8" s="14">
        <f>D8-H8</f>
        <v/>
      </c>
      <c r="J8" s="15">
        <f>IF(D8=0,0,I8/D8)</f>
        <v/>
      </c>
      <c r="K8" t="n">
        <v>0</v>
      </c>
      <c r="L8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t="n">
        <v>11</v>
      </c>
      <c r="R8" t="n">
        <v>8</v>
      </c>
      <c r="S8" s="24">
        <f>IF(Q8&lt;=R8,"YES","")</f>
        <v/>
      </c>
    </row>
    <row r="9">
      <c r="A9" s="8" t="inlineStr">
        <is>
          <t>Selank</t>
        </is>
      </c>
      <c r="B9" s="8" t="inlineStr">
        <is>
          <t>Cognitive</t>
        </is>
      </c>
      <c r="C9" s="8" t="inlineStr">
        <is>
          <t>10mg</t>
        </is>
      </c>
      <c r="D9" s="14" t="n">
        <v>34.99</v>
      </c>
      <c r="E9" s="14" t="n">
        <v>4.9</v>
      </c>
      <c r="F9" s="14" t="n">
        <v>3.8</v>
      </c>
      <c r="G9" s="14" t="n">
        <v>0.5</v>
      </c>
      <c r="H9" s="14">
        <f>E9+F9+G9</f>
        <v/>
      </c>
      <c r="I9" s="14">
        <f>D9-H9</f>
        <v/>
      </c>
      <c r="J9" s="15">
        <f>IF(D9=0,0,I9/D9)</f>
        <v/>
      </c>
      <c r="K9" t="n">
        <v>0</v>
      </c>
      <c r="L9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t="n">
        <v>4</v>
      </c>
      <c r="R9" t="n">
        <v>8</v>
      </c>
      <c r="S9" s="24">
        <f>IF(Q9&lt;=R9,"YES","")</f>
        <v/>
      </c>
    </row>
    <row r="10">
      <c r="A10" s="8" t="inlineStr">
        <is>
          <t>DSIP</t>
        </is>
      </c>
      <c r="B10" s="8" t="inlineStr">
        <is>
          <t>Sleep &amp; Recovery</t>
        </is>
      </c>
      <c r="C10" s="8" t="inlineStr">
        <is>
          <t>5mg</t>
        </is>
      </c>
      <c r="D10" s="14" t="n">
        <v>19.99</v>
      </c>
      <c r="E10" s="14" t="n">
        <v>3.9</v>
      </c>
      <c r="F10" s="14" t="n">
        <v>3.8</v>
      </c>
      <c r="G10" s="14" t="n">
        <v>0.5</v>
      </c>
      <c r="H10" s="14">
        <f>E10+F10+G10</f>
        <v/>
      </c>
      <c r="I10" s="14">
        <f>D10-H10</f>
        <v/>
      </c>
      <c r="J10" s="15">
        <f>IF(D10=0,0,I10/D10)</f>
        <v/>
      </c>
      <c r="K10" t="n">
        <v>0</v>
      </c>
      <c r="L10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t="n">
        <v>14</v>
      </c>
      <c r="R10" t="n">
        <v>8</v>
      </c>
      <c r="S10" s="24">
        <f>IF(Q10&lt;=R10,"YES","")</f>
        <v/>
      </c>
    </row>
    <row r="11">
      <c r="A11" s="8" t="inlineStr">
        <is>
          <t>DSIP</t>
        </is>
      </c>
      <c r="B11" s="8" t="inlineStr">
        <is>
          <t>Sleep &amp; Recovery</t>
        </is>
      </c>
      <c r="C11" s="8" t="inlineStr">
        <is>
          <t>10mg</t>
        </is>
      </c>
      <c r="D11" s="14" t="n">
        <v>29.99</v>
      </c>
      <c r="E11" s="14" t="n">
        <v>7.9</v>
      </c>
      <c r="F11" s="14" t="n">
        <v>3.8</v>
      </c>
      <c r="G11" s="14" t="n">
        <v>0.5</v>
      </c>
      <c r="H11" s="14">
        <f>E11+F11+G11</f>
        <v/>
      </c>
      <c r="I11" s="14">
        <f>D11-H11</f>
        <v/>
      </c>
      <c r="J11" s="15">
        <f>IF(D11=0,0,I11/D11)</f>
        <v/>
      </c>
      <c r="K11" t="n">
        <v>0</v>
      </c>
      <c r="L11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t="n">
        <v>10</v>
      </c>
      <c r="R11" t="n">
        <v>8</v>
      </c>
      <c r="S11" s="24">
        <f>IF(Q11&lt;=R11,"YES","")</f>
        <v/>
      </c>
    </row>
    <row r="12">
      <c r="A12" s="8" t="inlineStr">
        <is>
          <t>Retatrutide</t>
        </is>
      </c>
      <c r="B12" s="8" t="inlineStr">
        <is>
          <t>Metabolic</t>
        </is>
      </c>
      <c r="C12" s="8" t="inlineStr">
        <is>
          <t>10mg</t>
        </is>
      </c>
      <c r="D12" s="14" t="n">
        <v>59.99</v>
      </c>
      <c r="E12" s="14" t="n">
        <v>7.9</v>
      </c>
      <c r="F12" s="14" t="n">
        <v>3.8</v>
      </c>
      <c r="G12" s="14" t="n">
        <v>0.5</v>
      </c>
      <c r="H12" s="14">
        <f>E12+F12+G12</f>
        <v/>
      </c>
      <c r="I12" s="14">
        <f>D12-H12</f>
        <v/>
      </c>
      <c r="J12" s="15">
        <f>IF(D12=0,0,I12/D12)</f>
        <v/>
      </c>
      <c r="K12" t="n">
        <v>0</v>
      </c>
      <c r="L12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t="n">
        <v>3</v>
      </c>
      <c r="R12" t="n">
        <v>5</v>
      </c>
      <c r="S12" s="24">
        <f>IF(Q12&lt;=R12,"YES","")</f>
        <v/>
      </c>
    </row>
    <row r="13">
      <c r="A13" s="8" t="inlineStr">
        <is>
          <t>Retatrutide</t>
        </is>
      </c>
      <c r="B13" s="8" t="inlineStr">
        <is>
          <t>Metabolic</t>
        </is>
      </c>
      <c r="C13" s="8" t="inlineStr">
        <is>
          <t>20mg</t>
        </is>
      </c>
      <c r="D13" s="14" t="n">
        <v>99.98999999999999</v>
      </c>
      <c r="E13" s="14" t="n">
        <v>15.8</v>
      </c>
      <c r="F13" s="14" t="n">
        <v>3.8</v>
      </c>
      <c r="G13" s="14" t="n">
        <v>0.5</v>
      </c>
      <c r="H13" s="14">
        <f>E13+F13+G13</f>
        <v/>
      </c>
      <c r="I13" s="14">
        <f>D13-H13</f>
        <v/>
      </c>
      <c r="J13" s="15">
        <f>IF(D13=0,0,I13/D13)</f>
        <v/>
      </c>
      <c r="K13" t="n">
        <v>0</v>
      </c>
      <c r="L13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t="n">
        <v>4</v>
      </c>
      <c r="R13" t="n">
        <v>5</v>
      </c>
      <c r="S13" s="24">
        <f>IF(Q13&lt;=R13,"YES","")</f>
        <v/>
      </c>
    </row>
    <row r="14">
      <c r="A14" s="8" t="inlineStr">
        <is>
          <t>Tesamorelin</t>
        </is>
      </c>
      <c r="B14" s="8" t="inlineStr">
        <is>
          <t>Growth Hormone</t>
        </is>
      </c>
      <c r="C14" s="8" t="inlineStr">
        <is>
          <t>10mg</t>
        </is>
      </c>
      <c r="D14" s="14" t="n">
        <v>99.98999999999999</v>
      </c>
      <c r="E14" s="14" t="n">
        <v>14.9</v>
      </c>
      <c r="F14" s="14" t="n">
        <v>3.8</v>
      </c>
      <c r="G14" s="14" t="n">
        <v>0.5</v>
      </c>
      <c r="H14" s="14">
        <f>E14+F14+G14</f>
        <v/>
      </c>
      <c r="I14" s="14">
        <f>D14-H14</f>
        <v/>
      </c>
      <c r="J14" s="15">
        <f>IF(D14=0,0,I14/D14)</f>
        <v/>
      </c>
      <c r="K14" t="n">
        <v>0</v>
      </c>
      <c r="L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t="n">
        <v>4</v>
      </c>
      <c r="R14" t="n">
        <v>5</v>
      </c>
      <c r="S14" s="24">
        <f>IF(Q14&lt;=R14,"YES","")</f>
        <v/>
      </c>
    </row>
    <row r="15">
      <c r="A15" s="8" t="inlineStr">
        <is>
          <t>Tesamorelin</t>
        </is>
      </c>
      <c r="B15" s="8" t="inlineStr">
        <is>
          <t>Growth Hormone</t>
        </is>
      </c>
      <c r="C15" s="8" t="inlineStr">
        <is>
          <t>15mg</t>
        </is>
      </c>
      <c r="D15" s="14" t="n">
        <v>129.99</v>
      </c>
      <c r="E15" s="14" t="n">
        <v>17.9</v>
      </c>
      <c r="F15" s="14" t="n">
        <v>3.8</v>
      </c>
      <c r="G15" s="14" t="n">
        <v>0.5</v>
      </c>
      <c r="H15" s="14">
        <f>E15+F15+G15</f>
        <v/>
      </c>
      <c r="I15" s="14">
        <f>D15-H15</f>
        <v/>
      </c>
      <c r="J15" s="15">
        <f>IF(D15=0,0,I15/D15)</f>
        <v/>
      </c>
      <c r="K15" t="n">
        <v>0</v>
      </c>
      <c r="L15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t="n">
        <v>3</v>
      </c>
      <c r="R15" t="n">
        <v>5</v>
      </c>
      <c r="S15" s="24">
        <f>IF(Q15&lt;=R15,"YES","")</f>
        <v/>
      </c>
    </row>
    <row r="16">
      <c r="A16" s="8" t="inlineStr">
        <is>
          <t>MOTS-C</t>
        </is>
      </c>
      <c r="B16" s="8" t="inlineStr">
        <is>
          <t>Metabolic</t>
        </is>
      </c>
      <c r="C16" s="8" t="inlineStr">
        <is>
          <t>10mg</t>
        </is>
      </c>
      <c r="D16" s="14" t="n">
        <v>29.99</v>
      </c>
      <c r="E16" s="14" t="n">
        <v>6.9</v>
      </c>
      <c r="F16" s="14" t="n">
        <v>3.8</v>
      </c>
      <c r="G16" s="14" t="n">
        <v>0.5</v>
      </c>
      <c r="H16" s="14">
        <f>E16+F16+G16</f>
        <v/>
      </c>
      <c r="I16" s="14">
        <f>D16-H16</f>
        <v/>
      </c>
      <c r="J16" s="15">
        <f>IF(D16=0,0,I16/D16)</f>
        <v/>
      </c>
      <c r="K16" t="n">
        <v>0</v>
      </c>
      <c r="L16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t="n">
        <v>12</v>
      </c>
      <c r="R16" t="n">
        <v>8</v>
      </c>
      <c r="S16" s="24">
        <f>IF(Q16&lt;=R16,"YES","")</f>
        <v/>
      </c>
    </row>
    <row r="17">
      <c r="A17" s="8" t="inlineStr">
        <is>
          <t>NAD+</t>
        </is>
      </c>
      <c r="B17" s="8" t="inlineStr">
        <is>
          <t>Longevity</t>
        </is>
      </c>
      <c r="C17" s="8" t="inlineStr">
        <is>
          <t>500mg</t>
        </is>
      </c>
      <c r="D17" s="14" t="n">
        <v>34.99</v>
      </c>
      <c r="E17" s="14" t="n">
        <v>3.9</v>
      </c>
      <c r="F17" s="14" t="n">
        <v>3.8</v>
      </c>
      <c r="G17" s="14" t="n">
        <v>0.5</v>
      </c>
      <c r="H17" s="14">
        <f>E17+F17+G17</f>
        <v/>
      </c>
      <c r="I17" s="14">
        <f>D17-H17</f>
        <v/>
      </c>
      <c r="J17" s="15">
        <f>IF(D17=0,0,I17/D17)</f>
        <v/>
      </c>
      <c r="K17" t="n">
        <v>0</v>
      </c>
      <c r="L17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t="n">
        <v>10</v>
      </c>
      <c r="R17" t="n">
        <v>8</v>
      </c>
      <c r="S17" s="24">
        <f>IF(Q17&lt;=R17,"YES","")</f>
        <v/>
      </c>
    </row>
    <row r="18">
      <c r="A18" s="8" t="inlineStr">
        <is>
          <t>NAD+</t>
        </is>
      </c>
      <c r="B18" s="8" t="inlineStr">
        <is>
          <t>Longevity</t>
        </is>
      </c>
      <c r="C18" s="8" t="inlineStr">
        <is>
          <t>1000mg</t>
        </is>
      </c>
      <c r="D18" s="14" t="n">
        <v>54.99</v>
      </c>
      <c r="E18" s="14" t="n">
        <v>4.9</v>
      </c>
      <c r="F18" s="14" t="n">
        <v>3.8</v>
      </c>
      <c r="G18" s="14" t="n">
        <v>0.5</v>
      </c>
      <c r="H18" s="14">
        <f>E18+F18+G18</f>
        <v/>
      </c>
      <c r="I18" s="14">
        <f>D18-H18</f>
        <v/>
      </c>
      <c r="J18" s="15">
        <f>IF(D18=0,0,I18/D18)</f>
        <v/>
      </c>
      <c r="K18" t="n">
        <v>0</v>
      </c>
      <c r="L18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t="n">
        <v>10</v>
      </c>
      <c r="R18" t="n">
        <v>8</v>
      </c>
      <c r="S18" s="24">
        <f>IF(Q18&lt;=R18,"YES","")</f>
        <v/>
      </c>
    </row>
    <row r="19">
      <c r="A19" s="8" t="inlineStr">
        <is>
          <t>Glutathione</t>
        </is>
      </c>
      <c r="B19" s="8" t="inlineStr">
        <is>
          <t>Longevity</t>
        </is>
      </c>
      <c r="C19" s="8" t="inlineStr">
        <is>
          <t>1000mg</t>
        </is>
      </c>
      <c r="D19" s="14" t="n">
        <v>79.98999999999999</v>
      </c>
      <c r="E19" s="14" t="n">
        <v>4.9</v>
      </c>
      <c r="F19" s="14" t="n">
        <v>3.8</v>
      </c>
      <c r="G19" s="14" t="n">
        <v>0.5</v>
      </c>
      <c r="H19" s="14">
        <f>E19+F19+G19</f>
        <v/>
      </c>
      <c r="I19" s="14">
        <f>D19-H19</f>
        <v/>
      </c>
      <c r="J19" s="15">
        <f>IF(D19=0,0,I19/D19)</f>
        <v/>
      </c>
      <c r="K19" t="n">
        <v>0</v>
      </c>
      <c r="L19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t="n">
        <v>9</v>
      </c>
      <c r="R19" t="n">
        <v>8</v>
      </c>
      <c r="S19" s="24">
        <f>IF(Q19&lt;=R19,"YES","")</f>
        <v/>
      </c>
    </row>
    <row r="20">
      <c r="A20" s="8" t="inlineStr">
        <is>
          <t>Glutathione</t>
        </is>
      </c>
      <c r="B20" s="8" t="inlineStr">
        <is>
          <t>Longevity</t>
        </is>
      </c>
      <c r="C20" s="8" t="inlineStr">
        <is>
          <t>1500mg</t>
        </is>
      </c>
      <c r="D20" s="14" t="n">
        <v>119.99</v>
      </c>
      <c r="E20" s="14" t="n">
        <v>4.9</v>
      </c>
      <c r="F20" s="14" t="n">
        <v>3.8</v>
      </c>
      <c r="G20" s="14" t="n">
        <v>0.5</v>
      </c>
      <c r="H20" s="14">
        <f>E20+F20+G20</f>
        <v/>
      </c>
      <c r="I20" s="14">
        <f>D20-H20</f>
        <v/>
      </c>
      <c r="J20" s="15">
        <f>IF(D20=0,0,I20/D20)</f>
        <v/>
      </c>
      <c r="K20" t="n">
        <v>0</v>
      </c>
      <c r="L20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t="n">
        <v>9</v>
      </c>
      <c r="R20" t="n">
        <v>8</v>
      </c>
      <c r="S20" s="24">
        <f>IF(Q20&lt;=R20,"YES","")</f>
        <v/>
      </c>
    </row>
    <row r="21">
      <c r="A21" s="8" t="inlineStr">
        <is>
          <t>GHK-Cu</t>
        </is>
      </c>
      <c r="B21" s="8" t="inlineStr">
        <is>
          <t>Skin &amp; Aesthetic</t>
        </is>
      </c>
      <c r="C21" s="8" t="inlineStr">
        <is>
          <t>50mg</t>
        </is>
      </c>
      <c r="D21" s="14" t="n">
        <v>34.99</v>
      </c>
      <c r="E21" s="14" t="n">
        <v>3.9</v>
      </c>
      <c r="F21" s="14" t="n">
        <v>3.8</v>
      </c>
      <c r="G21" s="14" t="n">
        <v>0.5</v>
      </c>
      <c r="H21" s="14">
        <f>E21+F21+G21</f>
        <v/>
      </c>
      <c r="I21" s="14">
        <f>D21-H21</f>
        <v/>
      </c>
      <c r="J21" s="15">
        <f>IF(D21=0,0,I21/D21)</f>
        <v/>
      </c>
      <c r="K21" t="n">
        <v>0</v>
      </c>
      <c r="L21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t="n">
        <v>11</v>
      </c>
      <c r="R21" t="n">
        <v>8</v>
      </c>
      <c r="S21" s="24">
        <f>IF(Q21&lt;=R21,"YES","")</f>
        <v/>
      </c>
    </row>
    <row r="22">
      <c r="A22" s="8" t="inlineStr">
        <is>
          <t>GHK-Cu</t>
        </is>
      </c>
      <c r="B22" s="8" t="inlineStr">
        <is>
          <t>Skin &amp; Aesthetic</t>
        </is>
      </c>
      <c r="C22" s="8" t="inlineStr">
        <is>
          <t>100mg</t>
        </is>
      </c>
      <c r="D22" s="14" t="n">
        <v>44.99</v>
      </c>
      <c r="E22" s="14" t="n">
        <v>4.9</v>
      </c>
      <c r="F22" s="14" t="n">
        <v>3.8</v>
      </c>
      <c r="G22" s="14" t="n">
        <v>0.5</v>
      </c>
      <c r="H22" s="14">
        <f>E22+F22+G22</f>
        <v/>
      </c>
      <c r="I22" s="14">
        <f>D22-H22</f>
        <v/>
      </c>
      <c r="J22" s="15">
        <f>IF(D22=0,0,I22/D22)</f>
        <v/>
      </c>
      <c r="K22" t="n">
        <v>0</v>
      </c>
      <c r="L22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t="n">
        <v>8</v>
      </c>
      <c r="R22" t="n">
        <v>8</v>
      </c>
      <c r="S22" s="24">
        <f>IF(Q22&lt;=R22,"YES","")</f>
        <v/>
      </c>
    </row>
    <row r="23">
      <c r="A23" s="8" t="inlineStr">
        <is>
          <t>MT2 (Melanotan II)</t>
        </is>
      </c>
      <c r="B23" s="8" t="inlineStr">
        <is>
          <t>Skin &amp; Aesthetic</t>
        </is>
      </c>
      <c r="C23" s="8" t="inlineStr">
        <is>
          <t>10mg</t>
        </is>
      </c>
      <c r="D23" s="14" t="n">
        <v>34.99</v>
      </c>
      <c r="E23" s="14" t="n">
        <v>4.9</v>
      </c>
      <c r="F23" s="14" t="n">
        <v>3.8</v>
      </c>
      <c r="G23" s="14" t="n">
        <v>0.5</v>
      </c>
      <c r="H23" s="14">
        <f>E23+F23+G23</f>
        <v/>
      </c>
      <c r="I23" s="14">
        <f>D23-H23</f>
        <v/>
      </c>
      <c r="J23" s="15">
        <f>IF(D23=0,0,I23/D23)</f>
        <v/>
      </c>
      <c r="K23" t="n">
        <v>0</v>
      </c>
      <c r="L23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t="n">
        <v>6</v>
      </c>
      <c r="R23" t="n">
        <v>8</v>
      </c>
      <c r="S23" s="24">
        <f>IF(Q23&lt;=R23,"YES","")</f>
        <v/>
      </c>
    </row>
    <row r="24">
      <c r="A24" s="8" t="inlineStr">
        <is>
          <t>CJC-1295 wo DAC</t>
        </is>
      </c>
      <c r="B24" s="8" t="inlineStr">
        <is>
          <t>Growth Hormone</t>
        </is>
      </c>
      <c r="C24" s="8" t="inlineStr">
        <is>
          <t>10mg</t>
        </is>
      </c>
      <c r="D24" s="14" t="n">
        <v>49.99</v>
      </c>
      <c r="E24" s="14" t="n">
        <v>9.9</v>
      </c>
      <c r="F24" s="14" t="n">
        <v>3.8</v>
      </c>
      <c r="G24" s="14" t="n">
        <v>0.5</v>
      </c>
      <c r="H24" s="14">
        <f>E24+F24+G24</f>
        <v/>
      </c>
      <c r="I24" s="14">
        <f>D24-H24</f>
        <v/>
      </c>
      <c r="J24" s="15">
        <f>IF(D24=0,0,I24/D24)</f>
        <v/>
      </c>
      <c r="K24" t="n">
        <v>0</v>
      </c>
      <c r="L2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t="n">
        <v>9</v>
      </c>
      <c r="R24" t="n">
        <v>8</v>
      </c>
      <c r="S24" s="24">
        <f>IF(Q24&lt;=R24,"YES","")</f>
        <v/>
      </c>
    </row>
    <row r="25">
      <c r="A25" s="8" t="inlineStr">
        <is>
          <t>KPV</t>
        </is>
      </c>
      <c r="B25" s="8" t="inlineStr">
        <is>
          <t>Anti-Inflammatory</t>
        </is>
      </c>
      <c r="C25" s="8" t="inlineStr">
        <is>
          <t>10mg</t>
        </is>
      </c>
      <c r="D25" s="14" t="n">
        <v>34.99</v>
      </c>
      <c r="E25" s="14" t="n">
        <v>3.9</v>
      </c>
      <c r="F25" s="14" t="n">
        <v>3.8</v>
      </c>
      <c r="G25" s="14" t="n">
        <v>0.5</v>
      </c>
      <c r="H25" s="14">
        <f>E25+F25+G25</f>
        <v/>
      </c>
      <c r="I25" s="14">
        <f>D25-H25</f>
        <v/>
      </c>
      <c r="J25" s="15">
        <f>IF(D25=0,0,I25/D25)</f>
        <v/>
      </c>
      <c r="K25" t="n">
        <v>0</v>
      </c>
      <c r="L25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t="n">
        <v>11</v>
      </c>
      <c r="R25" t="n">
        <v>8</v>
      </c>
      <c r="S25" s="24">
        <f>IF(Q25&lt;=R25,"YES","")</f>
        <v/>
      </c>
    </row>
  </sheetData>
  <autoFilter ref="A2:S2"/>
  <mergeCells count="1">
    <mergeCell ref="A1:S1"/>
  </mergeCells>
  <conditionalFormatting sqref="S3:S25">
    <cfRule type="expression" priority="1" dxfId="5">
      <formula>$S3="YES"</formula>
    </cfRule>
  </conditionalFormatting>
  <conditionalFormatting sqref="Q3:Q25">
    <cfRule type="expression" priority="2" dxfId="3">
      <formula>$Q3&lt;=$R3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O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4" customWidth="1" min="4" max="4"/>
    <col width="10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  <col width="12" customWidth="1" min="15" max="15"/>
  </cols>
  <sheetData>
    <row r="1" ht="22" customHeight="1">
      <c r="A1" s="1" t="inlineStr">
        <is>
          <t>CRP Labs Ltd — Velox Peptides  |  Research Stacks  |  17/05/2026</t>
        </is>
      </c>
    </row>
    <row r="2" ht="22" customHeight="1">
      <c r="A2" s="5" t="inlineStr">
        <is>
          <t>Stack Name</t>
        </is>
      </c>
      <c r="B2" s="5" t="inlineStr">
        <is>
          <t>Component Products</t>
        </is>
      </c>
      <c r="C2" s="5" t="inlineStr">
        <is>
          <t>Component Cost Total</t>
        </is>
      </c>
      <c r="D2" s="5" t="inlineStr">
        <is>
          <t>Packaging (£3.80)</t>
        </is>
      </c>
      <c r="E2" s="5" t="inlineStr">
        <is>
          <t>Labels</t>
        </is>
      </c>
      <c r="F2" s="5" t="inlineStr">
        <is>
          <t>Total Cost</t>
        </is>
      </c>
      <c r="G2" s="5" t="inlineStr">
        <is>
          <t>Bundle Price</t>
        </is>
      </c>
      <c r="H2" s="5" t="inlineStr">
        <is>
          <t>Gross Profit</t>
        </is>
      </c>
      <c r="I2" s="5" t="inlineStr">
        <is>
          <t>Gross Margin %</t>
        </is>
      </c>
      <c r="J2" s="5" t="inlineStr">
        <is>
          <t>Units Sold MTD</t>
        </is>
      </c>
      <c r="K2" s="5" t="inlineStr">
        <is>
          <t>Units Sold YTD</t>
        </is>
      </c>
      <c r="L2" s="5" t="inlineStr">
        <is>
          <t>Revenue MTD</t>
        </is>
      </c>
      <c r="M2" s="5" t="inlineStr">
        <is>
          <t>Revenue YTD</t>
        </is>
      </c>
      <c r="N2" s="5" t="inlineStr">
        <is>
          <t>Profit MTD</t>
        </is>
      </c>
      <c r="O2" s="5" t="inlineStr">
        <is>
          <t>Profit YTD</t>
        </is>
      </c>
    </row>
    <row r="3" ht="28" customHeight="1">
      <c r="A3" s="13" t="inlineStr">
        <is>
          <t>Cognitive Stack</t>
        </is>
      </c>
      <c r="B3" s="25" t="inlineStr">
        <is>
          <t>Semax 10mg + Selank 10mg</t>
        </is>
      </c>
      <c r="C3" s="14" t="n">
        <v>9.800000000000001</v>
      </c>
      <c r="D3" s="14" t="n">
        <v>3.8</v>
      </c>
      <c r="E3" s="14" t="n">
        <v>1</v>
      </c>
      <c r="F3" s="14">
        <f>C3+D3+E3</f>
        <v/>
      </c>
      <c r="G3" s="14" t="n">
        <v>55.98</v>
      </c>
      <c r="H3" s="14">
        <f>G3-F3</f>
        <v/>
      </c>
      <c r="I3" s="15">
        <f>IF(G3=0,0,H3/G3)</f>
        <v/>
      </c>
      <c r="J3" t="n">
        <v>0</v>
      </c>
      <c r="K3" t="n">
        <v>0</v>
      </c>
      <c r="L3" s="14" t="n">
        <v>0</v>
      </c>
      <c r="M3" s="14" t="n">
        <v>0</v>
      </c>
      <c r="N3" s="14" t="n">
        <v>0</v>
      </c>
      <c r="O3" s="14" t="n">
        <v>0</v>
      </c>
    </row>
    <row r="4" ht="28" customHeight="1">
      <c r="A4" s="13" t="inlineStr">
        <is>
          <t>Cognitive &amp; Sleep Stack</t>
        </is>
      </c>
      <c r="B4" s="25" t="inlineStr">
        <is>
          <t>Semax 10mg + Selank 10mg + DSIP 10mg</t>
        </is>
      </c>
      <c r="C4" s="14" t="n">
        <v>17.7</v>
      </c>
      <c r="D4" s="14" t="n">
        <v>3.8</v>
      </c>
      <c r="E4" s="14" t="n">
        <v>1.5</v>
      </c>
      <c r="F4" s="14">
        <f>C4+D4+E4</f>
        <v/>
      </c>
      <c r="G4" s="14" t="n">
        <v>79.98</v>
      </c>
      <c r="H4" s="14">
        <f>G4-F4</f>
        <v/>
      </c>
      <c r="I4" s="15">
        <f>IF(G4=0,0,H4/G4)</f>
        <v/>
      </c>
      <c r="J4" t="n">
        <v>0</v>
      </c>
      <c r="K4" t="n">
        <v>0</v>
      </c>
      <c r="L4" s="14" t="n">
        <v>0</v>
      </c>
      <c r="M4" s="14" t="n">
        <v>0</v>
      </c>
      <c r="N4" s="14" t="n">
        <v>0</v>
      </c>
      <c r="O4" s="14" t="n">
        <v>0</v>
      </c>
    </row>
    <row r="5" ht="28" customHeight="1">
      <c r="A5" s="13" t="inlineStr">
        <is>
          <t>Advanced Cognitive Stack</t>
        </is>
      </c>
      <c r="B5" s="25" t="inlineStr">
        <is>
          <t>Semax 10mg + Selank 10mg + Dihexa 10mg</t>
        </is>
      </c>
      <c r="C5" s="14" t="n">
        <v>24.8</v>
      </c>
      <c r="D5" s="14" t="n">
        <v>3.8</v>
      </c>
      <c r="E5" s="14" t="n">
        <v>1.5</v>
      </c>
      <c r="F5" s="14">
        <f>C5+D5+E5</f>
        <v/>
      </c>
      <c r="G5" s="14" t="n">
        <v>89.98</v>
      </c>
      <c r="H5" s="14">
        <f>G5-F5</f>
        <v/>
      </c>
      <c r="I5" s="15">
        <f>IF(G5=0,0,H5/G5)</f>
        <v/>
      </c>
      <c r="J5" t="n">
        <v>0</v>
      </c>
      <c r="K5" t="n">
        <v>0</v>
      </c>
      <c r="L5" s="14" t="n">
        <v>0</v>
      </c>
      <c r="M5" s="14" t="n">
        <v>0</v>
      </c>
      <c r="N5" s="14" t="n">
        <v>0</v>
      </c>
      <c r="O5" s="14" t="n">
        <v>0</v>
      </c>
    </row>
    <row r="6" ht="28" customHeight="1">
      <c r="A6" s="13" t="inlineStr">
        <is>
          <t>Metabolic Stack</t>
        </is>
      </c>
      <c r="B6" s="25" t="inlineStr">
        <is>
          <t>MOTS-C 10mg + Retatrutide 20mg + NAD+ 1000mg</t>
        </is>
      </c>
      <c r="C6" s="14" t="n">
        <v>27.6</v>
      </c>
      <c r="D6" s="14" t="n">
        <v>3.8</v>
      </c>
      <c r="E6" s="14" t="n">
        <v>1.5</v>
      </c>
      <c r="F6" s="14">
        <f>C6+D6+E6</f>
        <v/>
      </c>
      <c r="G6" s="14" t="n">
        <v>119.98</v>
      </c>
      <c r="H6" s="14">
        <f>G6-F6</f>
        <v/>
      </c>
      <c r="I6" s="15">
        <f>IF(G6=0,0,H6/G6)</f>
        <v/>
      </c>
      <c r="J6" t="n">
        <v>0</v>
      </c>
      <c r="K6" t="n">
        <v>0</v>
      </c>
      <c r="L6" s="14" t="n">
        <v>0</v>
      </c>
      <c r="M6" s="14" t="n">
        <v>0</v>
      </c>
      <c r="N6" s="14" t="n">
        <v>0</v>
      </c>
      <c r="O6" s="14" t="n">
        <v>0</v>
      </c>
    </row>
    <row r="7" ht="28" customHeight="1">
      <c r="A7" s="13" t="inlineStr">
        <is>
          <t>GH &amp; Metabolic Stack</t>
        </is>
      </c>
      <c r="B7" s="25" t="inlineStr">
        <is>
          <t>Tesamorelin 15mg + Retatrutide 20mg</t>
        </is>
      </c>
      <c r="C7" s="14" t="n">
        <v>33.7</v>
      </c>
      <c r="D7" s="14" t="n">
        <v>3.8</v>
      </c>
      <c r="E7" s="14" t="n">
        <v>1</v>
      </c>
      <c r="F7" s="14">
        <f>C7+D7+E7</f>
        <v/>
      </c>
      <c r="G7" s="14" t="n">
        <v>139.98</v>
      </c>
      <c r="H7" s="14">
        <f>G7-F7</f>
        <v/>
      </c>
      <c r="I7" s="15">
        <f>IF(G7=0,0,H7/G7)</f>
        <v/>
      </c>
      <c r="J7" t="n">
        <v>0</v>
      </c>
      <c r="K7" t="n">
        <v>0</v>
      </c>
      <c r="L7" s="14" t="n">
        <v>0</v>
      </c>
      <c r="M7" s="14" t="n">
        <v>0</v>
      </c>
      <c r="N7" s="14" t="n">
        <v>0</v>
      </c>
      <c r="O7" s="14" t="n">
        <v>0</v>
      </c>
    </row>
    <row r="8" ht="28" customHeight="1">
      <c r="A8" s="13" t="inlineStr">
        <is>
          <t>Repair &amp; Metabolic Stack</t>
        </is>
      </c>
      <c r="B8" s="25" t="inlineStr">
        <is>
          <t>BPC-157 10mg + TB-500 10mg + Retatrutide 20mg</t>
        </is>
      </c>
      <c r="C8" s="14" t="n">
        <v>32.6</v>
      </c>
      <c r="D8" s="14" t="n">
        <v>3.8</v>
      </c>
      <c r="E8" s="14" t="n">
        <v>1.5</v>
      </c>
      <c r="F8" s="14">
        <f>C8+D8+E8</f>
        <v/>
      </c>
      <c r="G8" s="14" t="n">
        <v>109.98</v>
      </c>
      <c r="H8" s="14">
        <f>G8-F8</f>
        <v/>
      </c>
      <c r="I8" s="15">
        <f>IF(G8=0,0,H8/G8)</f>
        <v/>
      </c>
      <c r="J8" t="n">
        <v>0</v>
      </c>
      <c r="K8" t="n">
        <v>0</v>
      </c>
      <c r="L8" s="14" t="n">
        <v>0</v>
      </c>
      <c r="M8" s="14" t="n">
        <v>0</v>
      </c>
      <c r="N8" s="14" t="n">
        <v>0</v>
      </c>
      <c r="O8" s="14" t="n">
        <v>0</v>
      </c>
    </row>
    <row r="9" ht="28" customHeight="1">
      <c r="A9" s="13" t="inlineStr">
        <is>
          <t>GH Peptide Stack</t>
        </is>
      </c>
      <c r="B9" s="25" t="inlineStr">
        <is>
          <t>Tesamorelin 15mg + CJC-1295 wo DAC 10mg</t>
        </is>
      </c>
      <c r="C9" s="14" t="n">
        <v>27.8</v>
      </c>
      <c r="D9" s="14" t="n">
        <v>3.8</v>
      </c>
      <c r="E9" s="14" t="n">
        <v>1</v>
      </c>
      <c r="F9" s="14">
        <f>C9+D9+E9</f>
        <v/>
      </c>
      <c r="G9" s="14" t="n">
        <v>129.98</v>
      </c>
      <c r="H9" s="14">
        <f>G9-F9</f>
        <v/>
      </c>
      <c r="I9" s="15">
        <f>IF(G9=0,0,H9/G9)</f>
        <v/>
      </c>
      <c r="J9" t="n">
        <v>0</v>
      </c>
      <c r="K9" t="n">
        <v>0</v>
      </c>
      <c r="L9" s="14" t="n">
        <v>0</v>
      </c>
      <c r="M9" s="14" t="n">
        <v>0</v>
      </c>
      <c r="N9" s="14" t="n">
        <v>0</v>
      </c>
      <c r="O9" s="14" t="n">
        <v>0</v>
      </c>
    </row>
    <row r="10" ht="28" customHeight="1">
      <c r="A10" s="13" t="inlineStr">
        <is>
          <t>Skin &amp; Aesthetic Stack</t>
        </is>
      </c>
      <c r="B10" s="25" t="inlineStr">
        <is>
          <t>MT2 10mg + GHK-Cu 100mg + Glutathione 1500mg</t>
        </is>
      </c>
      <c r="C10" s="14" t="n">
        <v>14.7</v>
      </c>
      <c r="D10" s="14" t="n">
        <v>3.8</v>
      </c>
      <c r="E10" s="14" t="n">
        <v>1.5</v>
      </c>
      <c r="F10" s="14">
        <f>C10+D10+E10</f>
        <v/>
      </c>
      <c r="G10" s="14" t="n">
        <v>99.98</v>
      </c>
      <c r="H10" s="14">
        <f>G10-F10</f>
        <v/>
      </c>
      <c r="I10" s="15">
        <f>IF(G10=0,0,H10/G10)</f>
        <v/>
      </c>
      <c r="J10" t="n">
        <v>0</v>
      </c>
      <c r="K10" t="n">
        <v>0</v>
      </c>
      <c r="L10" s="14" t="n">
        <v>0</v>
      </c>
      <c r="M10" s="14" t="n">
        <v>0</v>
      </c>
      <c r="N10" s="14" t="n">
        <v>0</v>
      </c>
      <c r="O10" s="14" t="n">
        <v>0</v>
      </c>
    </row>
    <row r="11" ht="28" customHeight="1">
      <c r="A11" s="13" t="inlineStr">
        <is>
          <t>Anti-Ageing Stack</t>
        </is>
      </c>
      <c r="B11" s="25" t="inlineStr">
        <is>
          <t>GHK-Cu 100mg + Glutathione 1500mg + NAD+ 1000mg</t>
        </is>
      </c>
      <c r="C11" s="14" t="n">
        <v>14.7</v>
      </c>
      <c r="D11" s="14" t="n">
        <v>3.8</v>
      </c>
      <c r="E11" s="14" t="n">
        <v>1.5</v>
      </c>
      <c r="F11" s="14">
        <f>C11+D11+E11</f>
        <v/>
      </c>
      <c r="G11" s="14" t="n">
        <v>119.98</v>
      </c>
      <c r="H11" s="14">
        <f>G11-F11</f>
        <v/>
      </c>
      <c r="I11" s="15">
        <f>IF(G11=0,0,H11/G11)</f>
        <v/>
      </c>
      <c r="J11" t="n">
        <v>0</v>
      </c>
      <c r="K11" t="n">
        <v>0</v>
      </c>
      <c r="L11" s="14" t="n">
        <v>0</v>
      </c>
      <c r="M11" s="14" t="n">
        <v>0</v>
      </c>
      <c r="N11" s="14" t="n">
        <v>0</v>
      </c>
      <c r="O11" s="14" t="n">
        <v>0</v>
      </c>
    </row>
    <row r="12" ht="28" customHeight="1">
      <c r="A12" s="13" t="inlineStr">
        <is>
          <t>Ultimate Repair Stack</t>
        </is>
      </c>
      <c r="B12" s="25" t="inlineStr">
        <is>
          <t>BPC-157 10mg + TB-500 10mg + GHK-Cu 100mg</t>
        </is>
      </c>
      <c r="C12" s="14" t="n">
        <v>21.7</v>
      </c>
      <c r="D12" s="14" t="n">
        <v>3.8</v>
      </c>
      <c r="E12" s="14" t="n">
        <v>1.5</v>
      </c>
      <c r="F12" s="14">
        <f>C12+D12+E12</f>
        <v/>
      </c>
      <c r="G12" s="14" t="n">
        <v>99.98</v>
      </c>
      <c r="H12" s="14">
        <f>G12-F12</f>
        <v/>
      </c>
      <c r="I12" s="15">
        <f>IF(G12=0,0,H12/G12)</f>
        <v/>
      </c>
      <c r="J12" t="n">
        <v>0</v>
      </c>
      <c r="K12" t="n">
        <v>0</v>
      </c>
      <c r="L12" s="14" t="n">
        <v>0</v>
      </c>
      <c r="M12" s="14" t="n">
        <v>0</v>
      </c>
      <c r="N12" s="14" t="n">
        <v>0</v>
      </c>
      <c r="O12" s="14" t="n">
        <v>0</v>
      </c>
    </row>
  </sheetData>
  <autoFilter ref="A2:O2"/>
  <mergeCells count="1">
    <mergeCell ref="A1:O1"/>
  </mergeCells>
  <conditionalFormatting sqref="H3:H12">
    <cfRule type="cellIs" priority="1" operator="greaterThan" dxfId="6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69B4"/>
    <outlinePr summaryBelow="1" summaryRight="1"/>
    <pageSetUpPr/>
  </sheetPr>
  <dimension ref="A1:N5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35" customWidth="1" min="4" max="4"/>
    <col width="8" customWidth="1" min="5" max="5"/>
    <col width="10" customWidth="1" min="6" max="6"/>
    <col width="13" customWidth="1" min="7" max="7"/>
    <col width="16" customWidth="1" min="8" max="8"/>
    <col width="14" customWidth="1" min="9" max="9"/>
    <col width="14" customWidth="1" min="10" max="10"/>
    <col width="22" customWidth="1" min="11" max="11"/>
    <col width="20" customWidth="1" min="12" max="12"/>
    <col width="13" customWidth="1" min="13" max="13"/>
    <col width="18" customWidth="1" min="14" max="14"/>
  </cols>
  <sheetData>
    <row r="1" ht="22" customHeight="1">
      <c r="A1" s="1" t="inlineStr">
        <is>
          <t>CRP Labs Ltd — Velox Peptides  |  Customer Database  |  17/05/2026</t>
        </is>
      </c>
    </row>
    <row r="2" ht="22" customHeight="1">
      <c r="A2" s="5" t="inlineStr">
        <is>
          <t>Name</t>
        </is>
      </c>
      <c r="B2" s="5" t="inlineStr">
        <is>
          <t>Email</t>
        </is>
      </c>
      <c r="C2" s="5" t="inlineStr">
        <is>
          <t>Phone</t>
        </is>
      </c>
      <c r="D2" s="5" t="inlineStr">
        <is>
          <t>Address</t>
        </is>
      </c>
      <c r="E2" s="5" t="inlineStr">
        <is>
          <t>Region</t>
        </is>
      </c>
      <c r="F2" s="5" t="inlineStr">
        <is>
          <t>Total Orders</t>
        </is>
      </c>
      <c r="G2" s="5" t="inlineStr">
        <is>
          <t>Total Spent</t>
        </is>
      </c>
      <c r="H2" s="5" t="inlineStr">
        <is>
          <t>Total Profit Generated</t>
        </is>
      </c>
      <c r="I2" s="5" t="inlineStr">
        <is>
          <t>First Order Date</t>
        </is>
      </c>
      <c r="J2" s="5" t="inlineStr">
        <is>
          <t>Last Order Date</t>
        </is>
      </c>
      <c r="K2" s="5" t="inlineStr">
        <is>
          <t>Favourite Product</t>
        </is>
      </c>
      <c r="L2" s="5" t="inlineStr">
        <is>
          <t>Discount Codes Used</t>
        </is>
      </c>
      <c r="M2" s="5" t="inlineStr">
        <is>
          <t>Customer Tier</t>
        </is>
      </c>
      <c r="N2" s="5" t="inlineStr">
        <is>
          <t>Days Since Last Order</t>
        </is>
      </c>
    </row>
    <row r="3">
      <c r="G3" s="14" t="n"/>
      <c r="H3" s="14" t="n"/>
      <c r="I3" s="21" t="n"/>
      <c r="J3" s="21" t="n"/>
      <c r="M3">
        <f>IF(G3="","",IF(G3&gt;=500,"Platinum",IF(G3&gt;=300,"Gold",IF(G3&gt;=100,"Silver","Bronze"))))</f>
        <v/>
      </c>
      <c r="N3" s="26">
        <f>IF(J3="","",TODAY()-J3)</f>
        <v/>
      </c>
    </row>
    <row r="4">
      <c r="G4" s="14" t="n"/>
      <c r="H4" s="14" t="n"/>
      <c r="I4" s="21" t="n"/>
      <c r="J4" s="21" t="n"/>
      <c r="M4">
        <f>IF(G4="","",IF(G4&gt;=500,"Platinum",IF(G4&gt;=300,"Gold",IF(G4&gt;=100,"Silver","Bronze"))))</f>
        <v/>
      </c>
      <c r="N4" s="26">
        <f>IF(J4="","",TODAY()-J4)</f>
        <v/>
      </c>
    </row>
    <row r="5">
      <c r="G5" s="14" t="n"/>
      <c r="H5" s="14" t="n"/>
      <c r="I5" s="21" t="n"/>
      <c r="J5" s="21" t="n"/>
      <c r="M5">
        <f>IF(G5="","",IF(G5&gt;=500,"Platinum",IF(G5&gt;=300,"Gold",IF(G5&gt;=100,"Silver","Bronze"))))</f>
        <v/>
      </c>
      <c r="N5" s="26">
        <f>IF(J5="","",TODAY()-J5)</f>
        <v/>
      </c>
    </row>
    <row r="6">
      <c r="G6" s="14" t="n"/>
      <c r="H6" s="14" t="n"/>
      <c r="I6" s="21" t="n"/>
      <c r="J6" s="21" t="n"/>
      <c r="M6">
        <f>IF(G6="","",IF(G6&gt;=500,"Platinum",IF(G6&gt;=300,"Gold",IF(G6&gt;=100,"Silver","Bronze"))))</f>
        <v/>
      </c>
      <c r="N6" s="26">
        <f>IF(J6="","",TODAY()-J6)</f>
        <v/>
      </c>
    </row>
    <row r="7">
      <c r="G7" s="14" t="n"/>
      <c r="H7" s="14" t="n"/>
      <c r="I7" s="21" t="n"/>
      <c r="J7" s="21" t="n"/>
      <c r="M7">
        <f>IF(G7="","",IF(G7&gt;=500,"Platinum",IF(G7&gt;=300,"Gold",IF(G7&gt;=100,"Silver","Bronze"))))</f>
        <v/>
      </c>
      <c r="N7" s="26">
        <f>IF(J7="","",TODAY()-J7)</f>
        <v/>
      </c>
    </row>
    <row r="8">
      <c r="G8" s="14" t="n"/>
      <c r="H8" s="14" t="n"/>
      <c r="I8" s="21" t="n"/>
      <c r="J8" s="21" t="n"/>
      <c r="M8">
        <f>IF(G8="","",IF(G8&gt;=500,"Platinum",IF(G8&gt;=300,"Gold",IF(G8&gt;=100,"Silver","Bronze"))))</f>
        <v/>
      </c>
      <c r="N8" s="26">
        <f>IF(J8="","",TODAY()-J8)</f>
        <v/>
      </c>
    </row>
    <row r="9">
      <c r="G9" s="14" t="n"/>
      <c r="H9" s="14" t="n"/>
      <c r="I9" s="21" t="n"/>
      <c r="J9" s="21" t="n"/>
      <c r="M9">
        <f>IF(G9="","",IF(G9&gt;=500,"Platinum",IF(G9&gt;=300,"Gold",IF(G9&gt;=100,"Silver","Bronze"))))</f>
        <v/>
      </c>
      <c r="N9" s="26">
        <f>IF(J9="","",TODAY()-J9)</f>
        <v/>
      </c>
    </row>
    <row r="10">
      <c r="G10" s="14" t="n"/>
      <c r="H10" s="14" t="n"/>
      <c r="I10" s="21" t="n"/>
      <c r="J10" s="21" t="n"/>
      <c r="M10">
        <f>IF(G10="","",IF(G10&gt;=500,"Platinum",IF(G10&gt;=300,"Gold",IF(G10&gt;=100,"Silver","Bronze"))))</f>
        <v/>
      </c>
      <c r="N10" s="26">
        <f>IF(J10="","",TODAY()-J10)</f>
        <v/>
      </c>
    </row>
    <row r="11">
      <c r="G11" s="14" t="n"/>
      <c r="H11" s="14" t="n"/>
      <c r="I11" s="21" t="n"/>
      <c r="J11" s="21" t="n"/>
      <c r="M11">
        <f>IF(G11="","",IF(G11&gt;=500,"Platinum",IF(G11&gt;=300,"Gold",IF(G11&gt;=100,"Silver","Bronze"))))</f>
        <v/>
      </c>
      <c r="N11" s="26">
        <f>IF(J11="","",TODAY()-J11)</f>
        <v/>
      </c>
    </row>
    <row r="12">
      <c r="G12" s="14" t="n"/>
      <c r="H12" s="14" t="n"/>
      <c r="I12" s="21" t="n"/>
      <c r="J12" s="21" t="n"/>
      <c r="M12">
        <f>IF(G12="","",IF(G12&gt;=500,"Platinum",IF(G12&gt;=300,"Gold",IF(G12&gt;=100,"Silver","Bronze"))))</f>
        <v/>
      </c>
      <c r="N12" s="26">
        <f>IF(J12="","",TODAY()-J12)</f>
        <v/>
      </c>
    </row>
    <row r="13">
      <c r="G13" s="14" t="n"/>
      <c r="H13" s="14" t="n"/>
      <c r="I13" s="21" t="n"/>
      <c r="J13" s="21" t="n"/>
      <c r="M13">
        <f>IF(G13="","",IF(G13&gt;=500,"Platinum",IF(G13&gt;=300,"Gold",IF(G13&gt;=100,"Silver","Bronze"))))</f>
        <v/>
      </c>
      <c r="N13" s="26">
        <f>IF(J13="","",TODAY()-J13)</f>
        <v/>
      </c>
    </row>
    <row r="14">
      <c r="G14" s="14" t="n"/>
      <c r="H14" s="14" t="n"/>
      <c r="I14" s="21" t="n"/>
      <c r="J14" s="21" t="n"/>
      <c r="M14">
        <f>IF(G14="","",IF(G14&gt;=500,"Platinum",IF(G14&gt;=300,"Gold",IF(G14&gt;=100,"Silver","Bronze"))))</f>
        <v/>
      </c>
      <c r="N14" s="26">
        <f>IF(J14="","",TODAY()-J14)</f>
        <v/>
      </c>
    </row>
    <row r="15">
      <c r="G15" s="14" t="n"/>
      <c r="H15" s="14" t="n"/>
      <c r="I15" s="21" t="n"/>
      <c r="J15" s="21" t="n"/>
      <c r="M15">
        <f>IF(G15="","",IF(G15&gt;=500,"Platinum",IF(G15&gt;=300,"Gold",IF(G15&gt;=100,"Silver","Bronze"))))</f>
        <v/>
      </c>
      <c r="N15" s="26">
        <f>IF(J15="","",TODAY()-J15)</f>
        <v/>
      </c>
    </row>
    <row r="16">
      <c r="G16" s="14" t="n"/>
      <c r="H16" s="14" t="n"/>
      <c r="I16" s="21" t="n"/>
      <c r="J16" s="21" t="n"/>
      <c r="M16">
        <f>IF(G16="","",IF(G16&gt;=500,"Platinum",IF(G16&gt;=300,"Gold",IF(G16&gt;=100,"Silver","Bronze"))))</f>
        <v/>
      </c>
      <c r="N16" s="26">
        <f>IF(J16="","",TODAY()-J16)</f>
        <v/>
      </c>
    </row>
    <row r="17">
      <c r="G17" s="14" t="n"/>
      <c r="H17" s="14" t="n"/>
      <c r="I17" s="21" t="n"/>
      <c r="J17" s="21" t="n"/>
      <c r="M17">
        <f>IF(G17="","",IF(G17&gt;=500,"Platinum",IF(G17&gt;=300,"Gold",IF(G17&gt;=100,"Silver","Bronze"))))</f>
        <v/>
      </c>
      <c r="N17" s="26">
        <f>IF(J17="","",TODAY()-J17)</f>
        <v/>
      </c>
    </row>
    <row r="18">
      <c r="G18" s="14" t="n"/>
      <c r="H18" s="14" t="n"/>
      <c r="I18" s="21" t="n"/>
      <c r="J18" s="21" t="n"/>
      <c r="M18">
        <f>IF(G18="","",IF(G18&gt;=500,"Platinum",IF(G18&gt;=300,"Gold",IF(G18&gt;=100,"Silver","Bronze"))))</f>
        <v/>
      </c>
      <c r="N18" s="26">
        <f>IF(J18="","",TODAY()-J18)</f>
        <v/>
      </c>
    </row>
    <row r="19">
      <c r="G19" s="14" t="n"/>
      <c r="H19" s="14" t="n"/>
      <c r="I19" s="21" t="n"/>
      <c r="J19" s="21" t="n"/>
      <c r="M19">
        <f>IF(G19="","",IF(G19&gt;=500,"Platinum",IF(G19&gt;=300,"Gold",IF(G19&gt;=100,"Silver","Bronze"))))</f>
        <v/>
      </c>
      <c r="N19" s="26">
        <f>IF(J19="","",TODAY()-J19)</f>
        <v/>
      </c>
    </row>
    <row r="20">
      <c r="G20" s="14" t="n"/>
      <c r="H20" s="14" t="n"/>
      <c r="I20" s="21" t="n"/>
      <c r="J20" s="21" t="n"/>
      <c r="M20">
        <f>IF(G20="","",IF(G20&gt;=500,"Platinum",IF(G20&gt;=300,"Gold",IF(G20&gt;=100,"Silver","Bronze"))))</f>
        <v/>
      </c>
      <c r="N20" s="26">
        <f>IF(J20="","",TODAY()-J20)</f>
        <v/>
      </c>
    </row>
    <row r="21">
      <c r="G21" s="14" t="n"/>
      <c r="H21" s="14" t="n"/>
      <c r="I21" s="21" t="n"/>
      <c r="J21" s="21" t="n"/>
      <c r="M21">
        <f>IF(G21="","",IF(G21&gt;=500,"Platinum",IF(G21&gt;=300,"Gold",IF(G21&gt;=100,"Silver","Bronze"))))</f>
        <v/>
      </c>
      <c r="N21" s="26">
        <f>IF(J21="","",TODAY()-J21)</f>
        <v/>
      </c>
    </row>
    <row r="22">
      <c r="G22" s="14" t="n"/>
      <c r="H22" s="14" t="n"/>
      <c r="I22" s="21" t="n"/>
      <c r="J22" s="21" t="n"/>
      <c r="M22">
        <f>IF(G22="","",IF(G22&gt;=500,"Platinum",IF(G22&gt;=300,"Gold",IF(G22&gt;=100,"Silver","Bronze"))))</f>
        <v/>
      </c>
      <c r="N22" s="26">
        <f>IF(J22="","",TODAY()-J22)</f>
        <v/>
      </c>
    </row>
    <row r="23">
      <c r="G23" s="14" t="n"/>
      <c r="H23" s="14" t="n"/>
      <c r="I23" s="21" t="n"/>
      <c r="J23" s="21" t="n"/>
      <c r="M23">
        <f>IF(G23="","",IF(G23&gt;=500,"Platinum",IF(G23&gt;=300,"Gold",IF(G23&gt;=100,"Silver","Bronze"))))</f>
        <v/>
      </c>
      <c r="N23" s="26">
        <f>IF(J23="","",TODAY()-J23)</f>
        <v/>
      </c>
    </row>
    <row r="24">
      <c r="G24" s="14" t="n"/>
      <c r="H24" s="14" t="n"/>
      <c r="I24" s="21" t="n"/>
      <c r="J24" s="21" t="n"/>
      <c r="M24">
        <f>IF(G24="","",IF(G24&gt;=500,"Platinum",IF(G24&gt;=300,"Gold",IF(G24&gt;=100,"Silver","Bronze"))))</f>
        <v/>
      </c>
      <c r="N24" s="26">
        <f>IF(J24="","",TODAY()-J24)</f>
        <v/>
      </c>
    </row>
    <row r="25">
      <c r="G25" s="14" t="n"/>
      <c r="H25" s="14" t="n"/>
      <c r="I25" s="21" t="n"/>
      <c r="J25" s="21" t="n"/>
      <c r="M25">
        <f>IF(G25="","",IF(G25&gt;=500,"Platinum",IF(G25&gt;=300,"Gold",IF(G25&gt;=100,"Silver","Bronze"))))</f>
        <v/>
      </c>
      <c r="N25" s="26">
        <f>IF(J25="","",TODAY()-J25)</f>
        <v/>
      </c>
    </row>
    <row r="26">
      <c r="G26" s="14" t="n"/>
      <c r="H26" s="14" t="n"/>
      <c r="I26" s="21" t="n"/>
      <c r="J26" s="21" t="n"/>
      <c r="M26">
        <f>IF(G26="","",IF(G26&gt;=500,"Platinum",IF(G26&gt;=300,"Gold",IF(G26&gt;=100,"Silver","Bronze"))))</f>
        <v/>
      </c>
      <c r="N26" s="26">
        <f>IF(J26="","",TODAY()-J26)</f>
        <v/>
      </c>
    </row>
    <row r="27">
      <c r="G27" s="14" t="n"/>
      <c r="H27" s="14" t="n"/>
      <c r="I27" s="21" t="n"/>
      <c r="J27" s="21" t="n"/>
      <c r="M27">
        <f>IF(G27="","",IF(G27&gt;=500,"Platinum",IF(G27&gt;=300,"Gold",IF(G27&gt;=100,"Silver","Bronze"))))</f>
        <v/>
      </c>
      <c r="N27" s="26">
        <f>IF(J27="","",TODAY()-J27)</f>
        <v/>
      </c>
    </row>
    <row r="28">
      <c r="G28" s="14" t="n"/>
      <c r="H28" s="14" t="n"/>
      <c r="I28" s="21" t="n"/>
      <c r="J28" s="21" t="n"/>
      <c r="M28">
        <f>IF(G28="","",IF(G28&gt;=500,"Platinum",IF(G28&gt;=300,"Gold",IF(G28&gt;=100,"Silver","Bronze"))))</f>
        <v/>
      </c>
      <c r="N28" s="26">
        <f>IF(J28="","",TODAY()-J28)</f>
        <v/>
      </c>
    </row>
    <row r="29">
      <c r="G29" s="14" t="n"/>
      <c r="H29" s="14" t="n"/>
      <c r="I29" s="21" t="n"/>
      <c r="J29" s="21" t="n"/>
      <c r="M29">
        <f>IF(G29="","",IF(G29&gt;=500,"Platinum",IF(G29&gt;=300,"Gold",IF(G29&gt;=100,"Silver","Bronze"))))</f>
        <v/>
      </c>
      <c r="N29" s="26">
        <f>IF(J29="","",TODAY()-J29)</f>
        <v/>
      </c>
    </row>
    <row r="30">
      <c r="G30" s="14" t="n"/>
      <c r="H30" s="14" t="n"/>
      <c r="I30" s="21" t="n"/>
      <c r="J30" s="21" t="n"/>
      <c r="M30">
        <f>IF(G30="","",IF(G30&gt;=500,"Platinum",IF(G30&gt;=300,"Gold",IF(G30&gt;=100,"Silver","Bronze"))))</f>
        <v/>
      </c>
      <c r="N30" s="26">
        <f>IF(J30="","",TODAY()-J30)</f>
        <v/>
      </c>
    </row>
    <row r="31">
      <c r="G31" s="14" t="n"/>
      <c r="H31" s="14" t="n"/>
      <c r="I31" s="21" t="n"/>
      <c r="J31" s="21" t="n"/>
      <c r="M31">
        <f>IF(G31="","",IF(G31&gt;=500,"Platinum",IF(G31&gt;=300,"Gold",IF(G31&gt;=100,"Silver","Bronze"))))</f>
        <v/>
      </c>
      <c r="N31" s="26">
        <f>IF(J31="","",TODAY()-J31)</f>
        <v/>
      </c>
    </row>
    <row r="32">
      <c r="G32" s="14" t="n"/>
      <c r="H32" s="14" t="n"/>
      <c r="I32" s="21" t="n"/>
      <c r="J32" s="21" t="n"/>
      <c r="M32">
        <f>IF(G32="","",IF(G32&gt;=500,"Platinum",IF(G32&gt;=300,"Gold",IF(G32&gt;=100,"Silver","Bronze"))))</f>
        <v/>
      </c>
      <c r="N32" s="26">
        <f>IF(J32="","",TODAY()-J32)</f>
        <v/>
      </c>
    </row>
    <row r="33">
      <c r="G33" s="14" t="n"/>
      <c r="H33" s="14" t="n"/>
      <c r="I33" s="21" t="n"/>
      <c r="J33" s="21" t="n"/>
      <c r="M33">
        <f>IF(G33="","",IF(G33&gt;=500,"Platinum",IF(G33&gt;=300,"Gold",IF(G33&gt;=100,"Silver","Bronze"))))</f>
        <v/>
      </c>
      <c r="N33" s="26">
        <f>IF(J33="","",TODAY()-J33)</f>
        <v/>
      </c>
    </row>
    <row r="34">
      <c r="G34" s="14" t="n"/>
      <c r="H34" s="14" t="n"/>
      <c r="I34" s="21" t="n"/>
      <c r="J34" s="21" t="n"/>
      <c r="M34">
        <f>IF(G34="","",IF(G34&gt;=500,"Platinum",IF(G34&gt;=300,"Gold",IF(G34&gt;=100,"Silver","Bronze"))))</f>
        <v/>
      </c>
      <c r="N34" s="26">
        <f>IF(J34="","",TODAY()-J34)</f>
        <v/>
      </c>
    </row>
    <row r="35">
      <c r="G35" s="14" t="n"/>
      <c r="H35" s="14" t="n"/>
      <c r="I35" s="21" t="n"/>
      <c r="J35" s="21" t="n"/>
      <c r="M35">
        <f>IF(G35="","",IF(G35&gt;=500,"Platinum",IF(G35&gt;=300,"Gold",IF(G35&gt;=100,"Silver","Bronze"))))</f>
        <v/>
      </c>
      <c r="N35" s="26">
        <f>IF(J35="","",TODAY()-J35)</f>
        <v/>
      </c>
    </row>
    <row r="36">
      <c r="G36" s="14" t="n"/>
      <c r="H36" s="14" t="n"/>
      <c r="I36" s="21" t="n"/>
      <c r="J36" s="21" t="n"/>
      <c r="M36">
        <f>IF(G36="","",IF(G36&gt;=500,"Platinum",IF(G36&gt;=300,"Gold",IF(G36&gt;=100,"Silver","Bronze"))))</f>
        <v/>
      </c>
      <c r="N36" s="26">
        <f>IF(J36="","",TODAY()-J36)</f>
        <v/>
      </c>
    </row>
    <row r="37">
      <c r="G37" s="14" t="n"/>
      <c r="H37" s="14" t="n"/>
      <c r="I37" s="21" t="n"/>
      <c r="J37" s="21" t="n"/>
      <c r="M37">
        <f>IF(G37="","",IF(G37&gt;=500,"Platinum",IF(G37&gt;=300,"Gold",IF(G37&gt;=100,"Silver","Bronze"))))</f>
        <v/>
      </c>
      <c r="N37" s="26">
        <f>IF(J37="","",TODAY()-J37)</f>
        <v/>
      </c>
    </row>
    <row r="38">
      <c r="G38" s="14" t="n"/>
      <c r="H38" s="14" t="n"/>
      <c r="I38" s="21" t="n"/>
      <c r="J38" s="21" t="n"/>
      <c r="M38">
        <f>IF(G38="","",IF(G38&gt;=500,"Platinum",IF(G38&gt;=300,"Gold",IF(G38&gt;=100,"Silver","Bronze"))))</f>
        <v/>
      </c>
      <c r="N38" s="26">
        <f>IF(J38="","",TODAY()-J38)</f>
        <v/>
      </c>
    </row>
    <row r="39">
      <c r="G39" s="14" t="n"/>
      <c r="H39" s="14" t="n"/>
      <c r="I39" s="21" t="n"/>
      <c r="J39" s="21" t="n"/>
      <c r="M39">
        <f>IF(G39="","",IF(G39&gt;=500,"Platinum",IF(G39&gt;=300,"Gold",IF(G39&gt;=100,"Silver","Bronze"))))</f>
        <v/>
      </c>
      <c r="N39" s="26">
        <f>IF(J39="","",TODAY()-J39)</f>
        <v/>
      </c>
    </row>
    <row r="40">
      <c r="G40" s="14" t="n"/>
      <c r="H40" s="14" t="n"/>
      <c r="I40" s="21" t="n"/>
      <c r="J40" s="21" t="n"/>
      <c r="M40">
        <f>IF(G40="","",IF(G40&gt;=500,"Platinum",IF(G40&gt;=300,"Gold",IF(G40&gt;=100,"Silver","Bronze"))))</f>
        <v/>
      </c>
      <c r="N40" s="26">
        <f>IF(J40="","",TODAY()-J40)</f>
        <v/>
      </c>
    </row>
    <row r="41">
      <c r="G41" s="14" t="n"/>
      <c r="H41" s="14" t="n"/>
      <c r="I41" s="21" t="n"/>
      <c r="J41" s="21" t="n"/>
      <c r="M41">
        <f>IF(G41="","",IF(G41&gt;=500,"Platinum",IF(G41&gt;=300,"Gold",IF(G41&gt;=100,"Silver","Bronze"))))</f>
        <v/>
      </c>
      <c r="N41" s="26">
        <f>IF(J41="","",TODAY()-J41)</f>
        <v/>
      </c>
    </row>
    <row r="42">
      <c r="G42" s="14" t="n"/>
      <c r="H42" s="14" t="n"/>
      <c r="I42" s="21" t="n"/>
      <c r="J42" s="21" t="n"/>
      <c r="M42">
        <f>IF(G42="","",IF(G42&gt;=500,"Platinum",IF(G42&gt;=300,"Gold",IF(G42&gt;=100,"Silver","Bronze"))))</f>
        <v/>
      </c>
      <c r="N42" s="26">
        <f>IF(J42="","",TODAY()-J42)</f>
        <v/>
      </c>
    </row>
    <row r="43">
      <c r="G43" s="14" t="n"/>
      <c r="H43" s="14" t="n"/>
      <c r="I43" s="21" t="n"/>
      <c r="J43" s="21" t="n"/>
      <c r="M43">
        <f>IF(G43="","",IF(G43&gt;=500,"Platinum",IF(G43&gt;=300,"Gold",IF(G43&gt;=100,"Silver","Bronze"))))</f>
        <v/>
      </c>
      <c r="N43" s="26">
        <f>IF(J43="","",TODAY()-J43)</f>
        <v/>
      </c>
    </row>
    <row r="44">
      <c r="G44" s="14" t="n"/>
      <c r="H44" s="14" t="n"/>
      <c r="I44" s="21" t="n"/>
      <c r="J44" s="21" t="n"/>
      <c r="M44">
        <f>IF(G44="","",IF(G44&gt;=500,"Platinum",IF(G44&gt;=300,"Gold",IF(G44&gt;=100,"Silver","Bronze"))))</f>
        <v/>
      </c>
      <c r="N44" s="26">
        <f>IF(J44="","",TODAY()-J44)</f>
        <v/>
      </c>
    </row>
    <row r="45">
      <c r="G45" s="14" t="n"/>
      <c r="H45" s="14" t="n"/>
      <c r="I45" s="21" t="n"/>
      <c r="J45" s="21" t="n"/>
      <c r="M45">
        <f>IF(G45="","",IF(G45&gt;=500,"Platinum",IF(G45&gt;=300,"Gold",IF(G45&gt;=100,"Silver","Bronze"))))</f>
        <v/>
      </c>
      <c r="N45" s="26">
        <f>IF(J45="","",TODAY()-J45)</f>
        <v/>
      </c>
    </row>
    <row r="46">
      <c r="G46" s="14" t="n"/>
      <c r="H46" s="14" t="n"/>
      <c r="I46" s="21" t="n"/>
      <c r="J46" s="21" t="n"/>
      <c r="M46">
        <f>IF(G46="","",IF(G46&gt;=500,"Platinum",IF(G46&gt;=300,"Gold",IF(G46&gt;=100,"Silver","Bronze"))))</f>
        <v/>
      </c>
      <c r="N46" s="26">
        <f>IF(J46="","",TODAY()-J46)</f>
        <v/>
      </c>
    </row>
    <row r="47">
      <c r="G47" s="14" t="n"/>
      <c r="H47" s="14" t="n"/>
      <c r="I47" s="21" t="n"/>
      <c r="J47" s="21" t="n"/>
      <c r="M47">
        <f>IF(G47="","",IF(G47&gt;=500,"Platinum",IF(G47&gt;=300,"Gold",IF(G47&gt;=100,"Silver","Bronze"))))</f>
        <v/>
      </c>
      <c r="N47" s="26">
        <f>IF(J47="","",TODAY()-J47)</f>
        <v/>
      </c>
    </row>
    <row r="48">
      <c r="G48" s="14" t="n"/>
      <c r="H48" s="14" t="n"/>
      <c r="I48" s="21" t="n"/>
      <c r="J48" s="21" t="n"/>
      <c r="M48">
        <f>IF(G48="","",IF(G48&gt;=500,"Platinum",IF(G48&gt;=300,"Gold",IF(G48&gt;=100,"Silver","Bronze"))))</f>
        <v/>
      </c>
      <c r="N48" s="26">
        <f>IF(J48="","",TODAY()-J48)</f>
        <v/>
      </c>
    </row>
    <row r="49">
      <c r="G49" s="14" t="n"/>
      <c r="H49" s="14" t="n"/>
      <c r="I49" s="21" t="n"/>
      <c r="J49" s="21" t="n"/>
      <c r="M49">
        <f>IF(G49="","",IF(G49&gt;=500,"Platinum",IF(G49&gt;=300,"Gold",IF(G49&gt;=100,"Silver","Bronze"))))</f>
        <v/>
      </c>
      <c r="N49" s="26">
        <f>IF(J49="","",TODAY()-J49)</f>
        <v/>
      </c>
    </row>
    <row r="50">
      <c r="G50" s="14" t="n"/>
      <c r="H50" s="14" t="n"/>
      <c r="I50" s="21" t="n"/>
      <c r="J50" s="21" t="n"/>
      <c r="M50">
        <f>IF(G50="","",IF(G50&gt;=500,"Platinum",IF(G50&gt;=300,"Gold",IF(G50&gt;=100,"Silver","Bronze"))))</f>
        <v/>
      </c>
      <c r="N50" s="26">
        <f>IF(J50="","",TODAY()-J50)</f>
        <v/>
      </c>
    </row>
    <row r="51">
      <c r="G51" s="14" t="n"/>
      <c r="H51" s="14" t="n"/>
      <c r="I51" s="21" t="n"/>
      <c r="J51" s="21" t="n"/>
      <c r="M51">
        <f>IF(G51="","",IF(G51&gt;=500,"Platinum",IF(G51&gt;=300,"Gold",IF(G51&gt;=100,"Silver","Bronze"))))</f>
        <v/>
      </c>
      <c r="N51" s="26">
        <f>IF(J51="","",TODAY()-J51)</f>
        <v/>
      </c>
    </row>
    <row r="52">
      <c r="G52" s="14" t="n"/>
      <c r="H52" s="14" t="n"/>
      <c r="I52" s="21" t="n"/>
      <c r="J52" s="21" t="n"/>
      <c r="M52">
        <f>IF(G52="","",IF(G52&gt;=500,"Platinum",IF(G52&gt;=300,"Gold",IF(G52&gt;=100,"Silver","Bronze"))))</f>
        <v/>
      </c>
      <c r="N52" s="26">
        <f>IF(J52="","",TODAY()-J52)</f>
        <v/>
      </c>
    </row>
    <row r="53">
      <c r="G53" s="14" t="n"/>
      <c r="H53" s="14" t="n"/>
      <c r="I53" s="21" t="n"/>
      <c r="J53" s="21" t="n"/>
      <c r="M53">
        <f>IF(G53="","",IF(G53&gt;=500,"Platinum",IF(G53&gt;=300,"Gold",IF(G53&gt;=100,"Silver","Bronze"))))</f>
        <v/>
      </c>
      <c r="N53" s="26">
        <f>IF(J53="","",TODAY()-J53)</f>
        <v/>
      </c>
    </row>
    <row r="54">
      <c r="G54" s="14" t="n"/>
      <c r="H54" s="14" t="n"/>
      <c r="I54" s="21" t="n"/>
      <c r="J54" s="21" t="n"/>
      <c r="M54">
        <f>IF(G54="","",IF(G54&gt;=500,"Platinum",IF(G54&gt;=300,"Gold",IF(G54&gt;=100,"Silver","Bronze"))))</f>
        <v/>
      </c>
      <c r="N54" s="26">
        <f>IF(J54="","",TODAY()-J54)</f>
        <v/>
      </c>
    </row>
    <row r="55">
      <c r="G55" s="14" t="n"/>
      <c r="H55" s="14" t="n"/>
      <c r="I55" s="21" t="n"/>
      <c r="J55" s="21" t="n"/>
      <c r="M55">
        <f>IF(G55="","",IF(G55&gt;=500,"Platinum",IF(G55&gt;=300,"Gold",IF(G55&gt;=100,"Silver","Bronze"))))</f>
        <v/>
      </c>
      <c r="N55" s="26">
        <f>IF(J55="","",TODAY()-J55)</f>
        <v/>
      </c>
    </row>
    <row r="56">
      <c r="G56" s="14" t="n"/>
      <c r="H56" s="14" t="n"/>
      <c r="I56" s="21" t="n"/>
      <c r="J56" s="21" t="n"/>
      <c r="M56">
        <f>IF(G56="","",IF(G56&gt;=500,"Platinum",IF(G56&gt;=300,"Gold",IF(G56&gt;=100,"Silver","Bronze"))))</f>
        <v/>
      </c>
      <c r="N56" s="26">
        <f>IF(J56="","",TODAY()-J56)</f>
        <v/>
      </c>
    </row>
    <row r="57">
      <c r="G57" s="14" t="n"/>
      <c r="H57" s="14" t="n"/>
      <c r="I57" s="21" t="n"/>
      <c r="J57" s="21" t="n"/>
      <c r="M57">
        <f>IF(G57="","",IF(G57&gt;=500,"Platinum",IF(G57&gt;=300,"Gold",IF(G57&gt;=100,"Silver","Bronze"))))</f>
        <v/>
      </c>
      <c r="N57" s="26">
        <f>IF(J57="","",TODAY()-J57)</f>
        <v/>
      </c>
    </row>
    <row r="58">
      <c r="G58" s="14" t="n"/>
      <c r="H58" s="14" t="n"/>
      <c r="I58" s="21" t="n"/>
      <c r="J58" s="21" t="n"/>
      <c r="M58">
        <f>IF(G58="","",IF(G58&gt;=500,"Platinum",IF(G58&gt;=300,"Gold",IF(G58&gt;=100,"Silver","Bronze"))))</f>
        <v/>
      </c>
      <c r="N58" s="26">
        <f>IF(J58="","",TODAY()-J58)</f>
        <v/>
      </c>
    </row>
    <row r="59">
      <c r="G59" s="14" t="n"/>
      <c r="H59" s="14" t="n"/>
      <c r="I59" s="21" t="n"/>
      <c r="J59" s="21" t="n"/>
      <c r="M59">
        <f>IF(G59="","",IF(G59&gt;=500,"Platinum",IF(G59&gt;=300,"Gold",IF(G59&gt;=100,"Silver","Bronze"))))</f>
        <v/>
      </c>
      <c r="N59" s="26">
        <f>IF(J59="","",TODAY()-J59)</f>
        <v/>
      </c>
    </row>
    <row r="60">
      <c r="G60" s="14" t="n"/>
      <c r="H60" s="14" t="n"/>
      <c r="I60" s="21" t="n"/>
      <c r="J60" s="21" t="n"/>
      <c r="M60">
        <f>IF(G60="","",IF(G60&gt;=500,"Platinum",IF(G60&gt;=300,"Gold",IF(G60&gt;=100,"Silver","Bronze"))))</f>
        <v/>
      </c>
      <c r="N60" s="26">
        <f>IF(J60="","",TODAY()-J60)</f>
        <v/>
      </c>
    </row>
    <row r="61">
      <c r="G61" s="14" t="n"/>
      <c r="H61" s="14" t="n"/>
      <c r="I61" s="21" t="n"/>
      <c r="J61" s="21" t="n"/>
      <c r="M61">
        <f>IF(G61="","",IF(G61&gt;=500,"Platinum",IF(G61&gt;=300,"Gold",IF(G61&gt;=100,"Silver","Bronze"))))</f>
        <v/>
      </c>
      <c r="N61" s="26">
        <f>IF(J61="","",TODAY()-J61)</f>
        <v/>
      </c>
    </row>
    <row r="62">
      <c r="G62" s="14" t="n"/>
      <c r="H62" s="14" t="n"/>
      <c r="I62" s="21" t="n"/>
      <c r="J62" s="21" t="n"/>
      <c r="M62">
        <f>IF(G62="","",IF(G62&gt;=500,"Platinum",IF(G62&gt;=300,"Gold",IF(G62&gt;=100,"Silver","Bronze"))))</f>
        <v/>
      </c>
      <c r="N62" s="26">
        <f>IF(J62="","",TODAY()-J62)</f>
        <v/>
      </c>
    </row>
    <row r="63">
      <c r="G63" s="14" t="n"/>
      <c r="H63" s="14" t="n"/>
      <c r="I63" s="21" t="n"/>
      <c r="J63" s="21" t="n"/>
      <c r="M63">
        <f>IF(G63="","",IF(G63&gt;=500,"Platinum",IF(G63&gt;=300,"Gold",IF(G63&gt;=100,"Silver","Bronze"))))</f>
        <v/>
      </c>
      <c r="N63" s="26">
        <f>IF(J63="","",TODAY()-J63)</f>
        <v/>
      </c>
    </row>
    <row r="64">
      <c r="G64" s="14" t="n"/>
      <c r="H64" s="14" t="n"/>
      <c r="I64" s="21" t="n"/>
      <c r="J64" s="21" t="n"/>
      <c r="M64">
        <f>IF(G64="","",IF(G64&gt;=500,"Platinum",IF(G64&gt;=300,"Gold",IF(G64&gt;=100,"Silver","Bronze"))))</f>
        <v/>
      </c>
      <c r="N64" s="26">
        <f>IF(J64="","",TODAY()-J64)</f>
        <v/>
      </c>
    </row>
    <row r="65">
      <c r="G65" s="14" t="n"/>
      <c r="H65" s="14" t="n"/>
      <c r="I65" s="21" t="n"/>
      <c r="J65" s="21" t="n"/>
      <c r="M65">
        <f>IF(G65="","",IF(G65&gt;=500,"Platinum",IF(G65&gt;=300,"Gold",IF(G65&gt;=100,"Silver","Bronze"))))</f>
        <v/>
      </c>
      <c r="N65" s="26">
        <f>IF(J65="","",TODAY()-J65)</f>
        <v/>
      </c>
    </row>
    <row r="66">
      <c r="G66" s="14" t="n"/>
      <c r="H66" s="14" t="n"/>
      <c r="I66" s="21" t="n"/>
      <c r="J66" s="21" t="n"/>
      <c r="M66">
        <f>IF(G66="","",IF(G66&gt;=500,"Platinum",IF(G66&gt;=300,"Gold",IF(G66&gt;=100,"Silver","Bronze"))))</f>
        <v/>
      </c>
      <c r="N66" s="26">
        <f>IF(J66="","",TODAY()-J66)</f>
        <v/>
      </c>
    </row>
    <row r="67">
      <c r="G67" s="14" t="n"/>
      <c r="H67" s="14" t="n"/>
      <c r="I67" s="21" t="n"/>
      <c r="J67" s="21" t="n"/>
      <c r="M67">
        <f>IF(G67="","",IF(G67&gt;=500,"Platinum",IF(G67&gt;=300,"Gold",IF(G67&gt;=100,"Silver","Bronze"))))</f>
        <v/>
      </c>
      <c r="N67" s="26">
        <f>IF(J67="","",TODAY()-J67)</f>
        <v/>
      </c>
    </row>
    <row r="68">
      <c r="G68" s="14" t="n"/>
      <c r="H68" s="14" t="n"/>
      <c r="I68" s="21" t="n"/>
      <c r="J68" s="21" t="n"/>
      <c r="M68">
        <f>IF(G68="","",IF(G68&gt;=500,"Platinum",IF(G68&gt;=300,"Gold",IF(G68&gt;=100,"Silver","Bronze"))))</f>
        <v/>
      </c>
      <c r="N68" s="26">
        <f>IF(J68="","",TODAY()-J68)</f>
        <v/>
      </c>
    </row>
    <row r="69">
      <c r="G69" s="14" t="n"/>
      <c r="H69" s="14" t="n"/>
      <c r="I69" s="21" t="n"/>
      <c r="J69" s="21" t="n"/>
      <c r="M69">
        <f>IF(G69="","",IF(G69&gt;=500,"Platinum",IF(G69&gt;=300,"Gold",IF(G69&gt;=100,"Silver","Bronze"))))</f>
        <v/>
      </c>
      <c r="N69" s="26">
        <f>IF(J69="","",TODAY()-J69)</f>
        <v/>
      </c>
    </row>
    <row r="70">
      <c r="G70" s="14" t="n"/>
      <c r="H70" s="14" t="n"/>
      <c r="I70" s="21" t="n"/>
      <c r="J70" s="21" t="n"/>
      <c r="M70">
        <f>IF(G70="","",IF(G70&gt;=500,"Platinum",IF(G70&gt;=300,"Gold",IF(G70&gt;=100,"Silver","Bronze"))))</f>
        <v/>
      </c>
      <c r="N70" s="26">
        <f>IF(J70="","",TODAY()-J70)</f>
        <v/>
      </c>
    </row>
    <row r="71">
      <c r="G71" s="14" t="n"/>
      <c r="H71" s="14" t="n"/>
      <c r="I71" s="21" t="n"/>
      <c r="J71" s="21" t="n"/>
      <c r="M71">
        <f>IF(G71="","",IF(G71&gt;=500,"Platinum",IF(G71&gt;=300,"Gold",IF(G71&gt;=100,"Silver","Bronze"))))</f>
        <v/>
      </c>
      <c r="N71" s="26">
        <f>IF(J71="","",TODAY()-J71)</f>
        <v/>
      </c>
    </row>
    <row r="72">
      <c r="G72" s="14" t="n"/>
      <c r="H72" s="14" t="n"/>
      <c r="I72" s="21" t="n"/>
      <c r="J72" s="21" t="n"/>
      <c r="M72">
        <f>IF(G72="","",IF(G72&gt;=500,"Platinum",IF(G72&gt;=300,"Gold",IF(G72&gt;=100,"Silver","Bronze"))))</f>
        <v/>
      </c>
      <c r="N72" s="26">
        <f>IF(J72="","",TODAY()-J72)</f>
        <v/>
      </c>
    </row>
    <row r="73">
      <c r="G73" s="14" t="n"/>
      <c r="H73" s="14" t="n"/>
      <c r="I73" s="21" t="n"/>
      <c r="J73" s="21" t="n"/>
      <c r="M73">
        <f>IF(G73="","",IF(G73&gt;=500,"Platinum",IF(G73&gt;=300,"Gold",IF(G73&gt;=100,"Silver","Bronze"))))</f>
        <v/>
      </c>
      <c r="N73" s="26">
        <f>IF(J73="","",TODAY()-J73)</f>
        <v/>
      </c>
    </row>
    <row r="74">
      <c r="G74" s="14" t="n"/>
      <c r="H74" s="14" t="n"/>
      <c r="I74" s="21" t="n"/>
      <c r="J74" s="21" t="n"/>
      <c r="M74">
        <f>IF(G74="","",IF(G74&gt;=500,"Platinum",IF(G74&gt;=300,"Gold",IF(G74&gt;=100,"Silver","Bronze"))))</f>
        <v/>
      </c>
      <c r="N74" s="26">
        <f>IF(J74="","",TODAY()-J74)</f>
        <v/>
      </c>
    </row>
    <row r="75">
      <c r="G75" s="14" t="n"/>
      <c r="H75" s="14" t="n"/>
      <c r="I75" s="21" t="n"/>
      <c r="J75" s="21" t="n"/>
      <c r="M75">
        <f>IF(G75="","",IF(G75&gt;=500,"Platinum",IF(G75&gt;=300,"Gold",IF(G75&gt;=100,"Silver","Bronze"))))</f>
        <v/>
      </c>
      <c r="N75" s="26">
        <f>IF(J75="","",TODAY()-J75)</f>
        <v/>
      </c>
    </row>
    <row r="76">
      <c r="G76" s="14" t="n"/>
      <c r="H76" s="14" t="n"/>
      <c r="I76" s="21" t="n"/>
      <c r="J76" s="21" t="n"/>
      <c r="M76">
        <f>IF(G76="","",IF(G76&gt;=500,"Platinum",IF(G76&gt;=300,"Gold",IF(G76&gt;=100,"Silver","Bronze"))))</f>
        <v/>
      </c>
      <c r="N76" s="26">
        <f>IF(J76="","",TODAY()-J76)</f>
        <v/>
      </c>
    </row>
    <row r="77">
      <c r="G77" s="14" t="n"/>
      <c r="H77" s="14" t="n"/>
      <c r="I77" s="21" t="n"/>
      <c r="J77" s="21" t="n"/>
      <c r="M77">
        <f>IF(G77="","",IF(G77&gt;=500,"Platinum",IF(G77&gt;=300,"Gold",IF(G77&gt;=100,"Silver","Bronze"))))</f>
        <v/>
      </c>
      <c r="N77" s="26">
        <f>IF(J77="","",TODAY()-J77)</f>
        <v/>
      </c>
    </row>
    <row r="78">
      <c r="G78" s="14" t="n"/>
      <c r="H78" s="14" t="n"/>
      <c r="I78" s="21" t="n"/>
      <c r="J78" s="21" t="n"/>
      <c r="M78">
        <f>IF(G78="","",IF(G78&gt;=500,"Platinum",IF(G78&gt;=300,"Gold",IF(G78&gt;=100,"Silver","Bronze"))))</f>
        <v/>
      </c>
      <c r="N78" s="26">
        <f>IF(J78="","",TODAY()-J78)</f>
        <v/>
      </c>
    </row>
    <row r="79">
      <c r="G79" s="14" t="n"/>
      <c r="H79" s="14" t="n"/>
      <c r="I79" s="21" t="n"/>
      <c r="J79" s="21" t="n"/>
      <c r="M79">
        <f>IF(G79="","",IF(G79&gt;=500,"Platinum",IF(G79&gt;=300,"Gold",IF(G79&gt;=100,"Silver","Bronze"))))</f>
        <v/>
      </c>
      <c r="N79" s="26">
        <f>IF(J79="","",TODAY()-J79)</f>
        <v/>
      </c>
    </row>
    <row r="80">
      <c r="G80" s="14" t="n"/>
      <c r="H80" s="14" t="n"/>
      <c r="I80" s="21" t="n"/>
      <c r="J80" s="21" t="n"/>
      <c r="M80">
        <f>IF(G80="","",IF(G80&gt;=500,"Platinum",IF(G80&gt;=300,"Gold",IF(G80&gt;=100,"Silver","Bronze"))))</f>
        <v/>
      </c>
      <c r="N80" s="26">
        <f>IF(J80="","",TODAY()-J80)</f>
        <v/>
      </c>
    </row>
    <row r="81">
      <c r="G81" s="14" t="n"/>
      <c r="H81" s="14" t="n"/>
      <c r="I81" s="21" t="n"/>
      <c r="J81" s="21" t="n"/>
      <c r="M81">
        <f>IF(G81="","",IF(G81&gt;=500,"Platinum",IF(G81&gt;=300,"Gold",IF(G81&gt;=100,"Silver","Bronze"))))</f>
        <v/>
      </c>
      <c r="N81" s="26">
        <f>IF(J81="","",TODAY()-J81)</f>
        <v/>
      </c>
    </row>
    <row r="82">
      <c r="G82" s="14" t="n"/>
      <c r="H82" s="14" t="n"/>
      <c r="I82" s="21" t="n"/>
      <c r="J82" s="21" t="n"/>
      <c r="M82">
        <f>IF(G82="","",IF(G82&gt;=500,"Platinum",IF(G82&gt;=300,"Gold",IF(G82&gt;=100,"Silver","Bronze"))))</f>
        <v/>
      </c>
      <c r="N82" s="26">
        <f>IF(J82="","",TODAY()-J82)</f>
        <v/>
      </c>
    </row>
    <row r="83">
      <c r="G83" s="14" t="n"/>
      <c r="H83" s="14" t="n"/>
      <c r="I83" s="21" t="n"/>
      <c r="J83" s="21" t="n"/>
      <c r="M83">
        <f>IF(G83="","",IF(G83&gt;=500,"Platinum",IF(G83&gt;=300,"Gold",IF(G83&gt;=100,"Silver","Bronze"))))</f>
        <v/>
      </c>
      <c r="N83" s="26">
        <f>IF(J83="","",TODAY()-J83)</f>
        <v/>
      </c>
    </row>
    <row r="84">
      <c r="G84" s="14" t="n"/>
      <c r="H84" s="14" t="n"/>
      <c r="I84" s="21" t="n"/>
      <c r="J84" s="21" t="n"/>
      <c r="M84">
        <f>IF(G84="","",IF(G84&gt;=500,"Platinum",IF(G84&gt;=300,"Gold",IF(G84&gt;=100,"Silver","Bronze"))))</f>
        <v/>
      </c>
      <c r="N84" s="26">
        <f>IF(J84="","",TODAY()-J84)</f>
        <v/>
      </c>
    </row>
    <row r="85">
      <c r="G85" s="14" t="n"/>
      <c r="H85" s="14" t="n"/>
      <c r="I85" s="21" t="n"/>
      <c r="J85" s="21" t="n"/>
      <c r="M85">
        <f>IF(G85="","",IF(G85&gt;=500,"Platinum",IF(G85&gt;=300,"Gold",IF(G85&gt;=100,"Silver","Bronze"))))</f>
        <v/>
      </c>
      <c r="N85" s="26">
        <f>IF(J85="","",TODAY()-J85)</f>
        <v/>
      </c>
    </row>
    <row r="86">
      <c r="G86" s="14" t="n"/>
      <c r="H86" s="14" t="n"/>
      <c r="I86" s="21" t="n"/>
      <c r="J86" s="21" t="n"/>
      <c r="M86">
        <f>IF(G86="","",IF(G86&gt;=500,"Platinum",IF(G86&gt;=300,"Gold",IF(G86&gt;=100,"Silver","Bronze"))))</f>
        <v/>
      </c>
      <c r="N86" s="26">
        <f>IF(J86="","",TODAY()-J86)</f>
        <v/>
      </c>
    </row>
    <row r="87">
      <c r="G87" s="14" t="n"/>
      <c r="H87" s="14" t="n"/>
      <c r="I87" s="21" t="n"/>
      <c r="J87" s="21" t="n"/>
      <c r="M87">
        <f>IF(G87="","",IF(G87&gt;=500,"Platinum",IF(G87&gt;=300,"Gold",IF(G87&gt;=100,"Silver","Bronze"))))</f>
        <v/>
      </c>
      <c r="N87" s="26">
        <f>IF(J87="","",TODAY()-J87)</f>
        <v/>
      </c>
    </row>
    <row r="88">
      <c r="G88" s="14" t="n"/>
      <c r="H88" s="14" t="n"/>
      <c r="I88" s="21" t="n"/>
      <c r="J88" s="21" t="n"/>
      <c r="M88">
        <f>IF(G88="","",IF(G88&gt;=500,"Platinum",IF(G88&gt;=300,"Gold",IF(G88&gt;=100,"Silver","Bronze"))))</f>
        <v/>
      </c>
      <c r="N88" s="26">
        <f>IF(J88="","",TODAY()-J88)</f>
        <v/>
      </c>
    </row>
    <row r="89">
      <c r="G89" s="14" t="n"/>
      <c r="H89" s="14" t="n"/>
      <c r="I89" s="21" t="n"/>
      <c r="J89" s="21" t="n"/>
      <c r="M89">
        <f>IF(G89="","",IF(G89&gt;=500,"Platinum",IF(G89&gt;=300,"Gold",IF(G89&gt;=100,"Silver","Bronze"))))</f>
        <v/>
      </c>
      <c r="N89" s="26">
        <f>IF(J89="","",TODAY()-J89)</f>
        <v/>
      </c>
    </row>
    <row r="90">
      <c r="G90" s="14" t="n"/>
      <c r="H90" s="14" t="n"/>
      <c r="I90" s="21" t="n"/>
      <c r="J90" s="21" t="n"/>
      <c r="M90">
        <f>IF(G90="","",IF(G90&gt;=500,"Platinum",IF(G90&gt;=300,"Gold",IF(G90&gt;=100,"Silver","Bronze"))))</f>
        <v/>
      </c>
      <c r="N90" s="26">
        <f>IF(J90="","",TODAY()-J90)</f>
        <v/>
      </c>
    </row>
    <row r="91">
      <c r="G91" s="14" t="n"/>
      <c r="H91" s="14" t="n"/>
      <c r="I91" s="21" t="n"/>
      <c r="J91" s="21" t="n"/>
      <c r="M91">
        <f>IF(G91="","",IF(G91&gt;=500,"Platinum",IF(G91&gt;=300,"Gold",IF(G91&gt;=100,"Silver","Bronze"))))</f>
        <v/>
      </c>
      <c r="N91" s="26">
        <f>IF(J91="","",TODAY()-J91)</f>
        <v/>
      </c>
    </row>
    <row r="92">
      <c r="G92" s="14" t="n"/>
      <c r="H92" s="14" t="n"/>
      <c r="I92" s="21" t="n"/>
      <c r="J92" s="21" t="n"/>
      <c r="M92">
        <f>IF(G92="","",IF(G92&gt;=500,"Platinum",IF(G92&gt;=300,"Gold",IF(G92&gt;=100,"Silver","Bronze"))))</f>
        <v/>
      </c>
      <c r="N92" s="26">
        <f>IF(J92="","",TODAY()-J92)</f>
        <v/>
      </c>
    </row>
    <row r="93">
      <c r="G93" s="14" t="n"/>
      <c r="H93" s="14" t="n"/>
      <c r="I93" s="21" t="n"/>
      <c r="J93" s="21" t="n"/>
      <c r="M93">
        <f>IF(G93="","",IF(G93&gt;=500,"Platinum",IF(G93&gt;=300,"Gold",IF(G93&gt;=100,"Silver","Bronze"))))</f>
        <v/>
      </c>
      <c r="N93" s="26">
        <f>IF(J93="","",TODAY()-J93)</f>
        <v/>
      </c>
    </row>
    <row r="94">
      <c r="G94" s="14" t="n"/>
      <c r="H94" s="14" t="n"/>
      <c r="I94" s="21" t="n"/>
      <c r="J94" s="21" t="n"/>
      <c r="M94">
        <f>IF(G94="","",IF(G94&gt;=500,"Platinum",IF(G94&gt;=300,"Gold",IF(G94&gt;=100,"Silver","Bronze"))))</f>
        <v/>
      </c>
      <c r="N94" s="26">
        <f>IF(J94="","",TODAY()-J94)</f>
        <v/>
      </c>
    </row>
    <row r="95">
      <c r="G95" s="14" t="n"/>
      <c r="H95" s="14" t="n"/>
      <c r="I95" s="21" t="n"/>
      <c r="J95" s="21" t="n"/>
      <c r="M95">
        <f>IF(G95="","",IF(G95&gt;=500,"Platinum",IF(G95&gt;=300,"Gold",IF(G95&gt;=100,"Silver","Bronze"))))</f>
        <v/>
      </c>
      <c r="N95" s="26">
        <f>IF(J95="","",TODAY()-J95)</f>
        <v/>
      </c>
    </row>
    <row r="96">
      <c r="G96" s="14" t="n"/>
      <c r="H96" s="14" t="n"/>
      <c r="I96" s="21" t="n"/>
      <c r="J96" s="21" t="n"/>
      <c r="M96">
        <f>IF(G96="","",IF(G96&gt;=500,"Platinum",IF(G96&gt;=300,"Gold",IF(G96&gt;=100,"Silver","Bronze"))))</f>
        <v/>
      </c>
      <c r="N96" s="26">
        <f>IF(J96="","",TODAY()-J96)</f>
        <v/>
      </c>
    </row>
    <row r="97">
      <c r="G97" s="14" t="n"/>
      <c r="H97" s="14" t="n"/>
      <c r="I97" s="21" t="n"/>
      <c r="J97" s="21" t="n"/>
      <c r="M97">
        <f>IF(G97="","",IF(G97&gt;=500,"Platinum",IF(G97&gt;=300,"Gold",IF(G97&gt;=100,"Silver","Bronze"))))</f>
        <v/>
      </c>
      <c r="N97" s="26">
        <f>IF(J97="","",TODAY()-J97)</f>
        <v/>
      </c>
    </row>
    <row r="98">
      <c r="G98" s="14" t="n"/>
      <c r="H98" s="14" t="n"/>
      <c r="I98" s="21" t="n"/>
      <c r="J98" s="21" t="n"/>
      <c r="M98">
        <f>IF(G98="","",IF(G98&gt;=500,"Platinum",IF(G98&gt;=300,"Gold",IF(G98&gt;=100,"Silver","Bronze"))))</f>
        <v/>
      </c>
      <c r="N98" s="26">
        <f>IF(J98="","",TODAY()-J98)</f>
        <v/>
      </c>
    </row>
    <row r="99">
      <c r="G99" s="14" t="n"/>
      <c r="H99" s="14" t="n"/>
      <c r="I99" s="21" t="n"/>
      <c r="J99" s="21" t="n"/>
      <c r="M99">
        <f>IF(G99="","",IF(G99&gt;=500,"Platinum",IF(G99&gt;=300,"Gold",IF(G99&gt;=100,"Silver","Bronze"))))</f>
        <v/>
      </c>
      <c r="N99" s="26">
        <f>IF(J99="","",TODAY()-J99)</f>
        <v/>
      </c>
    </row>
    <row r="100">
      <c r="G100" s="14" t="n"/>
      <c r="H100" s="14" t="n"/>
      <c r="I100" s="21" t="n"/>
      <c r="J100" s="21" t="n"/>
      <c r="M100">
        <f>IF(G100="","",IF(G100&gt;=500,"Platinum",IF(G100&gt;=300,"Gold",IF(G100&gt;=100,"Silver","Bronze"))))</f>
        <v/>
      </c>
      <c r="N100" s="26">
        <f>IF(J100="","",TODAY()-J100)</f>
        <v/>
      </c>
    </row>
    <row r="101">
      <c r="G101" s="14" t="n"/>
      <c r="H101" s="14" t="n"/>
      <c r="I101" s="21" t="n"/>
      <c r="J101" s="21" t="n"/>
      <c r="M101">
        <f>IF(G101="","",IF(G101&gt;=500,"Platinum",IF(G101&gt;=300,"Gold",IF(G101&gt;=100,"Silver","Bronze"))))</f>
        <v/>
      </c>
      <c r="N101" s="26">
        <f>IF(J101="","",TODAY()-J101)</f>
        <v/>
      </c>
    </row>
    <row r="102">
      <c r="G102" s="14" t="n"/>
      <c r="H102" s="14" t="n"/>
      <c r="I102" s="21" t="n"/>
      <c r="J102" s="21" t="n"/>
      <c r="M102">
        <f>IF(G102="","",IF(G102&gt;=500,"Platinum",IF(G102&gt;=300,"Gold",IF(G102&gt;=100,"Silver","Bronze"))))</f>
        <v/>
      </c>
      <c r="N102" s="26">
        <f>IF(J102="","",TODAY()-J102)</f>
        <v/>
      </c>
    </row>
    <row r="103">
      <c r="G103" s="14" t="n"/>
      <c r="H103" s="14" t="n"/>
      <c r="I103" s="21" t="n"/>
      <c r="J103" s="21" t="n"/>
      <c r="M103">
        <f>IF(G103="","",IF(G103&gt;=500,"Platinum",IF(G103&gt;=300,"Gold",IF(G103&gt;=100,"Silver","Bronze"))))</f>
        <v/>
      </c>
      <c r="N103" s="26">
        <f>IF(J103="","",TODAY()-J103)</f>
        <v/>
      </c>
    </row>
    <row r="104">
      <c r="G104" s="14" t="n"/>
      <c r="H104" s="14" t="n"/>
      <c r="I104" s="21" t="n"/>
      <c r="J104" s="21" t="n"/>
      <c r="M104">
        <f>IF(G104="","",IF(G104&gt;=500,"Platinum",IF(G104&gt;=300,"Gold",IF(G104&gt;=100,"Silver","Bronze"))))</f>
        <v/>
      </c>
      <c r="N104" s="26">
        <f>IF(J104="","",TODAY()-J104)</f>
        <v/>
      </c>
    </row>
    <row r="105">
      <c r="G105" s="14" t="n"/>
      <c r="H105" s="14" t="n"/>
      <c r="I105" s="21" t="n"/>
      <c r="J105" s="21" t="n"/>
      <c r="M105">
        <f>IF(G105="","",IF(G105&gt;=500,"Platinum",IF(G105&gt;=300,"Gold",IF(G105&gt;=100,"Silver","Bronze"))))</f>
        <v/>
      </c>
      <c r="N105" s="26">
        <f>IF(J105="","",TODAY()-J105)</f>
        <v/>
      </c>
    </row>
    <row r="106">
      <c r="G106" s="14" t="n"/>
      <c r="H106" s="14" t="n"/>
      <c r="I106" s="21" t="n"/>
      <c r="J106" s="21" t="n"/>
      <c r="M106">
        <f>IF(G106="","",IF(G106&gt;=500,"Platinum",IF(G106&gt;=300,"Gold",IF(G106&gt;=100,"Silver","Bronze"))))</f>
        <v/>
      </c>
      <c r="N106" s="26">
        <f>IF(J106="","",TODAY()-J106)</f>
        <v/>
      </c>
    </row>
    <row r="107">
      <c r="G107" s="14" t="n"/>
      <c r="H107" s="14" t="n"/>
      <c r="I107" s="21" t="n"/>
      <c r="J107" s="21" t="n"/>
      <c r="M107">
        <f>IF(G107="","",IF(G107&gt;=500,"Platinum",IF(G107&gt;=300,"Gold",IF(G107&gt;=100,"Silver","Bronze"))))</f>
        <v/>
      </c>
      <c r="N107" s="26">
        <f>IF(J107="","",TODAY()-J107)</f>
        <v/>
      </c>
    </row>
    <row r="108">
      <c r="G108" s="14" t="n"/>
      <c r="H108" s="14" t="n"/>
      <c r="I108" s="21" t="n"/>
      <c r="J108" s="21" t="n"/>
      <c r="M108">
        <f>IF(G108="","",IF(G108&gt;=500,"Platinum",IF(G108&gt;=300,"Gold",IF(G108&gt;=100,"Silver","Bronze"))))</f>
        <v/>
      </c>
      <c r="N108" s="26">
        <f>IF(J108="","",TODAY()-J108)</f>
        <v/>
      </c>
    </row>
    <row r="109">
      <c r="G109" s="14" t="n"/>
      <c r="H109" s="14" t="n"/>
      <c r="I109" s="21" t="n"/>
      <c r="J109" s="21" t="n"/>
      <c r="M109">
        <f>IF(G109="","",IF(G109&gt;=500,"Platinum",IF(G109&gt;=300,"Gold",IF(G109&gt;=100,"Silver","Bronze"))))</f>
        <v/>
      </c>
      <c r="N109" s="26">
        <f>IF(J109="","",TODAY()-J109)</f>
        <v/>
      </c>
    </row>
    <row r="110">
      <c r="G110" s="14" t="n"/>
      <c r="H110" s="14" t="n"/>
      <c r="I110" s="21" t="n"/>
      <c r="J110" s="21" t="n"/>
      <c r="M110">
        <f>IF(G110="","",IF(G110&gt;=500,"Platinum",IF(G110&gt;=300,"Gold",IF(G110&gt;=100,"Silver","Bronze"))))</f>
        <v/>
      </c>
      <c r="N110" s="26">
        <f>IF(J110="","",TODAY()-J110)</f>
        <v/>
      </c>
    </row>
    <row r="111">
      <c r="G111" s="14" t="n"/>
      <c r="H111" s="14" t="n"/>
      <c r="I111" s="21" t="n"/>
      <c r="J111" s="21" t="n"/>
      <c r="M111">
        <f>IF(G111="","",IF(G111&gt;=500,"Platinum",IF(G111&gt;=300,"Gold",IF(G111&gt;=100,"Silver","Bronze"))))</f>
        <v/>
      </c>
      <c r="N111" s="26">
        <f>IF(J111="","",TODAY()-J111)</f>
        <v/>
      </c>
    </row>
    <row r="112">
      <c r="G112" s="14" t="n"/>
      <c r="H112" s="14" t="n"/>
      <c r="I112" s="21" t="n"/>
      <c r="J112" s="21" t="n"/>
      <c r="M112">
        <f>IF(G112="","",IF(G112&gt;=500,"Platinum",IF(G112&gt;=300,"Gold",IF(G112&gt;=100,"Silver","Bronze"))))</f>
        <v/>
      </c>
      <c r="N112" s="26">
        <f>IF(J112="","",TODAY()-J112)</f>
        <v/>
      </c>
    </row>
    <row r="113">
      <c r="G113" s="14" t="n"/>
      <c r="H113" s="14" t="n"/>
      <c r="I113" s="21" t="n"/>
      <c r="J113" s="21" t="n"/>
      <c r="M113">
        <f>IF(G113="","",IF(G113&gt;=500,"Platinum",IF(G113&gt;=300,"Gold",IF(G113&gt;=100,"Silver","Bronze"))))</f>
        <v/>
      </c>
      <c r="N113" s="26">
        <f>IF(J113="","",TODAY()-J113)</f>
        <v/>
      </c>
    </row>
    <row r="114">
      <c r="G114" s="14" t="n"/>
      <c r="H114" s="14" t="n"/>
      <c r="I114" s="21" t="n"/>
      <c r="J114" s="21" t="n"/>
      <c r="M114">
        <f>IF(G114="","",IF(G114&gt;=500,"Platinum",IF(G114&gt;=300,"Gold",IF(G114&gt;=100,"Silver","Bronze"))))</f>
        <v/>
      </c>
      <c r="N114" s="26">
        <f>IF(J114="","",TODAY()-J114)</f>
        <v/>
      </c>
    </row>
    <row r="115">
      <c r="G115" s="14" t="n"/>
      <c r="H115" s="14" t="n"/>
      <c r="I115" s="21" t="n"/>
      <c r="J115" s="21" t="n"/>
      <c r="M115">
        <f>IF(G115="","",IF(G115&gt;=500,"Platinum",IF(G115&gt;=300,"Gold",IF(G115&gt;=100,"Silver","Bronze"))))</f>
        <v/>
      </c>
      <c r="N115" s="26">
        <f>IF(J115="","",TODAY()-J115)</f>
        <v/>
      </c>
    </row>
    <row r="116">
      <c r="G116" s="14" t="n"/>
      <c r="H116" s="14" t="n"/>
      <c r="I116" s="21" t="n"/>
      <c r="J116" s="21" t="n"/>
      <c r="M116">
        <f>IF(G116="","",IF(G116&gt;=500,"Platinum",IF(G116&gt;=300,"Gold",IF(G116&gt;=100,"Silver","Bronze"))))</f>
        <v/>
      </c>
      <c r="N116" s="26">
        <f>IF(J116="","",TODAY()-J116)</f>
        <v/>
      </c>
    </row>
    <row r="117">
      <c r="G117" s="14" t="n"/>
      <c r="H117" s="14" t="n"/>
      <c r="I117" s="21" t="n"/>
      <c r="J117" s="21" t="n"/>
      <c r="M117">
        <f>IF(G117="","",IF(G117&gt;=500,"Platinum",IF(G117&gt;=300,"Gold",IF(G117&gt;=100,"Silver","Bronze"))))</f>
        <v/>
      </c>
      <c r="N117" s="26">
        <f>IF(J117="","",TODAY()-J117)</f>
        <v/>
      </c>
    </row>
    <row r="118">
      <c r="G118" s="14" t="n"/>
      <c r="H118" s="14" t="n"/>
      <c r="I118" s="21" t="n"/>
      <c r="J118" s="21" t="n"/>
      <c r="M118">
        <f>IF(G118="","",IF(G118&gt;=500,"Platinum",IF(G118&gt;=300,"Gold",IF(G118&gt;=100,"Silver","Bronze"))))</f>
        <v/>
      </c>
      <c r="N118" s="26">
        <f>IF(J118="","",TODAY()-J118)</f>
        <v/>
      </c>
    </row>
    <row r="119">
      <c r="G119" s="14" t="n"/>
      <c r="H119" s="14" t="n"/>
      <c r="I119" s="21" t="n"/>
      <c r="J119" s="21" t="n"/>
      <c r="M119">
        <f>IF(G119="","",IF(G119&gt;=500,"Platinum",IF(G119&gt;=300,"Gold",IF(G119&gt;=100,"Silver","Bronze"))))</f>
        <v/>
      </c>
      <c r="N119" s="26">
        <f>IF(J119="","",TODAY()-J119)</f>
        <v/>
      </c>
    </row>
    <row r="120">
      <c r="G120" s="14" t="n"/>
      <c r="H120" s="14" t="n"/>
      <c r="I120" s="21" t="n"/>
      <c r="J120" s="21" t="n"/>
      <c r="M120">
        <f>IF(G120="","",IF(G120&gt;=500,"Platinum",IF(G120&gt;=300,"Gold",IF(G120&gt;=100,"Silver","Bronze"))))</f>
        <v/>
      </c>
      <c r="N120" s="26">
        <f>IF(J120="","",TODAY()-J120)</f>
        <v/>
      </c>
    </row>
    <row r="121">
      <c r="G121" s="14" t="n"/>
      <c r="H121" s="14" t="n"/>
      <c r="I121" s="21" t="n"/>
      <c r="J121" s="21" t="n"/>
      <c r="M121">
        <f>IF(G121="","",IF(G121&gt;=500,"Platinum",IF(G121&gt;=300,"Gold",IF(G121&gt;=100,"Silver","Bronze"))))</f>
        <v/>
      </c>
      <c r="N121" s="26">
        <f>IF(J121="","",TODAY()-J121)</f>
        <v/>
      </c>
    </row>
    <row r="122">
      <c r="G122" s="14" t="n"/>
      <c r="H122" s="14" t="n"/>
      <c r="I122" s="21" t="n"/>
      <c r="J122" s="21" t="n"/>
      <c r="M122">
        <f>IF(G122="","",IF(G122&gt;=500,"Platinum",IF(G122&gt;=300,"Gold",IF(G122&gt;=100,"Silver","Bronze"))))</f>
        <v/>
      </c>
      <c r="N122" s="26">
        <f>IF(J122="","",TODAY()-J122)</f>
        <v/>
      </c>
    </row>
    <row r="123">
      <c r="G123" s="14" t="n"/>
      <c r="H123" s="14" t="n"/>
      <c r="I123" s="21" t="n"/>
      <c r="J123" s="21" t="n"/>
      <c r="M123">
        <f>IF(G123="","",IF(G123&gt;=500,"Platinum",IF(G123&gt;=300,"Gold",IF(G123&gt;=100,"Silver","Bronze"))))</f>
        <v/>
      </c>
      <c r="N123" s="26">
        <f>IF(J123="","",TODAY()-J123)</f>
        <v/>
      </c>
    </row>
    <row r="124">
      <c r="G124" s="14" t="n"/>
      <c r="H124" s="14" t="n"/>
      <c r="I124" s="21" t="n"/>
      <c r="J124" s="21" t="n"/>
      <c r="M124">
        <f>IF(G124="","",IF(G124&gt;=500,"Platinum",IF(G124&gt;=300,"Gold",IF(G124&gt;=100,"Silver","Bronze"))))</f>
        <v/>
      </c>
      <c r="N124" s="26">
        <f>IF(J124="","",TODAY()-J124)</f>
        <v/>
      </c>
    </row>
    <row r="125">
      <c r="G125" s="14" t="n"/>
      <c r="H125" s="14" t="n"/>
      <c r="I125" s="21" t="n"/>
      <c r="J125" s="21" t="n"/>
      <c r="M125">
        <f>IF(G125="","",IF(G125&gt;=500,"Platinum",IF(G125&gt;=300,"Gold",IF(G125&gt;=100,"Silver","Bronze"))))</f>
        <v/>
      </c>
      <c r="N125" s="26">
        <f>IF(J125="","",TODAY()-J125)</f>
        <v/>
      </c>
    </row>
    <row r="126">
      <c r="G126" s="14" t="n"/>
      <c r="H126" s="14" t="n"/>
      <c r="I126" s="21" t="n"/>
      <c r="J126" s="21" t="n"/>
      <c r="M126">
        <f>IF(G126="","",IF(G126&gt;=500,"Platinum",IF(G126&gt;=300,"Gold",IF(G126&gt;=100,"Silver","Bronze"))))</f>
        <v/>
      </c>
      <c r="N126" s="26">
        <f>IF(J126="","",TODAY()-J126)</f>
        <v/>
      </c>
    </row>
    <row r="127">
      <c r="G127" s="14" t="n"/>
      <c r="H127" s="14" t="n"/>
      <c r="I127" s="21" t="n"/>
      <c r="J127" s="21" t="n"/>
      <c r="M127">
        <f>IF(G127="","",IF(G127&gt;=500,"Platinum",IF(G127&gt;=300,"Gold",IF(G127&gt;=100,"Silver","Bronze"))))</f>
        <v/>
      </c>
      <c r="N127" s="26">
        <f>IF(J127="","",TODAY()-J127)</f>
        <v/>
      </c>
    </row>
    <row r="128">
      <c r="G128" s="14" t="n"/>
      <c r="H128" s="14" t="n"/>
      <c r="I128" s="21" t="n"/>
      <c r="J128" s="21" t="n"/>
      <c r="M128">
        <f>IF(G128="","",IF(G128&gt;=500,"Platinum",IF(G128&gt;=300,"Gold",IF(G128&gt;=100,"Silver","Bronze"))))</f>
        <v/>
      </c>
      <c r="N128" s="26">
        <f>IF(J128="","",TODAY()-J128)</f>
        <v/>
      </c>
    </row>
    <row r="129">
      <c r="G129" s="14" t="n"/>
      <c r="H129" s="14" t="n"/>
      <c r="I129" s="21" t="n"/>
      <c r="J129" s="21" t="n"/>
      <c r="M129">
        <f>IF(G129="","",IF(G129&gt;=500,"Platinum",IF(G129&gt;=300,"Gold",IF(G129&gt;=100,"Silver","Bronze"))))</f>
        <v/>
      </c>
      <c r="N129" s="26">
        <f>IF(J129="","",TODAY()-J129)</f>
        <v/>
      </c>
    </row>
    <row r="130">
      <c r="G130" s="14" t="n"/>
      <c r="H130" s="14" t="n"/>
      <c r="I130" s="21" t="n"/>
      <c r="J130" s="21" t="n"/>
      <c r="M130">
        <f>IF(G130="","",IF(G130&gt;=500,"Platinum",IF(G130&gt;=300,"Gold",IF(G130&gt;=100,"Silver","Bronze"))))</f>
        <v/>
      </c>
      <c r="N130" s="26">
        <f>IF(J130="","",TODAY()-J130)</f>
        <v/>
      </c>
    </row>
    <row r="131">
      <c r="G131" s="14" t="n"/>
      <c r="H131" s="14" t="n"/>
      <c r="I131" s="21" t="n"/>
      <c r="J131" s="21" t="n"/>
      <c r="M131">
        <f>IF(G131="","",IF(G131&gt;=500,"Platinum",IF(G131&gt;=300,"Gold",IF(G131&gt;=100,"Silver","Bronze"))))</f>
        <v/>
      </c>
      <c r="N131" s="26">
        <f>IF(J131="","",TODAY()-J131)</f>
        <v/>
      </c>
    </row>
    <row r="132">
      <c r="G132" s="14" t="n"/>
      <c r="H132" s="14" t="n"/>
      <c r="I132" s="21" t="n"/>
      <c r="J132" s="21" t="n"/>
      <c r="M132">
        <f>IF(G132="","",IF(G132&gt;=500,"Platinum",IF(G132&gt;=300,"Gold",IF(G132&gt;=100,"Silver","Bronze"))))</f>
        <v/>
      </c>
      <c r="N132" s="26">
        <f>IF(J132="","",TODAY()-J132)</f>
        <v/>
      </c>
    </row>
    <row r="133">
      <c r="G133" s="14" t="n"/>
      <c r="H133" s="14" t="n"/>
      <c r="I133" s="21" t="n"/>
      <c r="J133" s="21" t="n"/>
      <c r="M133">
        <f>IF(G133="","",IF(G133&gt;=500,"Platinum",IF(G133&gt;=300,"Gold",IF(G133&gt;=100,"Silver","Bronze"))))</f>
        <v/>
      </c>
      <c r="N133" s="26">
        <f>IF(J133="","",TODAY()-J133)</f>
        <v/>
      </c>
    </row>
    <row r="134">
      <c r="G134" s="14" t="n"/>
      <c r="H134" s="14" t="n"/>
      <c r="I134" s="21" t="n"/>
      <c r="J134" s="21" t="n"/>
      <c r="M134">
        <f>IF(G134="","",IF(G134&gt;=500,"Platinum",IF(G134&gt;=300,"Gold",IF(G134&gt;=100,"Silver","Bronze"))))</f>
        <v/>
      </c>
      <c r="N134" s="26">
        <f>IF(J134="","",TODAY()-J134)</f>
        <v/>
      </c>
    </row>
    <row r="135">
      <c r="G135" s="14" t="n"/>
      <c r="H135" s="14" t="n"/>
      <c r="I135" s="21" t="n"/>
      <c r="J135" s="21" t="n"/>
      <c r="M135">
        <f>IF(G135="","",IF(G135&gt;=500,"Platinum",IF(G135&gt;=300,"Gold",IF(G135&gt;=100,"Silver","Bronze"))))</f>
        <v/>
      </c>
      <c r="N135" s="26">
        <f>IF(J135="","",TODAY()-J135)</f>
        <v/>
      </c>
    </row>
    <row r="136">
      <c r="G136" s="14" t="n"/>
      <c r="H136" s="14" t="n"/>
      <c r="I136" s="21" t="n"/>
      <c r="J136" s="21" t="n"/>
      <c r="M136">
        <f>IF(G136="","",IF(G136&gt;=500,"Platinum",IF(G136&gt;=300,"Gold",IF(G136&gt;=100,"Silver","Bronze"))))</f>
        <v/>
      </c>
      <c r="N136" s="26">
        <f>IF(J136="","",TODAY()-J136)</f>
        <v/>
      </c>
    </row>
    <row r="137">
      <c r="G137" s="14" t="n"/>
      <c r="H137" s="14" t="n"/>
      <c r="I137" s="21" t="n"/>
      <c r="J137" s="21" t="n"/>
      <c r="M137">
        <f>IF(G137="","",IF(G137&gt;=500,"Platinum",IF(G137&gt;=300,"Gold",IF(G137&gt;=100,"Silver","Bronze"))))</f>
        <v/>
      </c>
      <c r="N137" s="26">
        <f>IF(J137="","",TODAY()-J137)</f>
        <v/>
      </c>
    </row>
    <row r="138">
      <c r="G138" s="14" t="n"/>
      <c r="H138" s="14" t="n"/>
      <c r="I138" s="21" t="n"/>
      <c r="J138" s="21" t="n"/>
      <c r="M138">
        <f>IF(G138="","",IF(G138&gt;=500,"Platinum",IF(G138&gt;=300,"Gold",IF(G138&gt;=100,"Silver","Bronze"))))</f>
        <v/>
      </c>
      <c r="N138" s="26">
        <f>IF(J138="","",TODAY()-J138)</f>
        <v/>
      </c>
    </row>
    <row r="139">
      <c r="G139" s="14" t="n"/>
      <c r="H139" s="14" t="n"/>
      <c r="I139" s="21" t="n"/>
      <c r="J139" s="21" t="n"/>
      <c r="M139">
        <f>IF(G139="","",IF(G139&gt;=500,"Platinum",IF(G139&gt;=300,"Gold",IF(G139&gt;=100,"Silver","Bronze"))))</f>
        <v/>
      </c>
      <c r="N139" s="26">
        <f>IF(J139="","",TODAY()-J139)</f>
        <v/>
      </c>
    </row>
    <row r="140">
      <c r="G140" s="14" t="n"/>
      <c r="H140" s="14" t="n"/>
      <c r="I140" s="21" t="n"/>
      <c r="J140" s="21" t="n"/>
      <c r="M140">
        <f>IF(G140="","",IF(G140&gt;=500,"Platinum",IF(G140&gt;=300,"Gold",IF(G140&gt;=100,"Silver","Bronze"))))</f>
        <v/>
      </c>
      <c r="N140" s="26">
        <f>IF(J140="","",TODAY()-J140)</f>
        <v/>
      </c>
    </row>
    <row r="141">
      <c r="G141" s="14" t="n"/>
      <c r="H141" s="14" t="n"/>
      <c r="I141" s="21" t="n"/>
      <c r="J141" s="21" t="n"/>
      <c r="M141">
        <f>IF(G141="","",IF(G141&gt;=500,"Platinum",IF(G141&gt;=300,"Gold",IF(G141&gt;=100,"Silver","Bronze"))))</f>
        <v/>
      </c>
      <c r="N141" s="26">
        <f>IF(J141="","",TODAY()-J141)</f>
        <v/>
      </c>
    </row>
    <row r="142">
      <c r="G142" s="14" t="n"/>
      <c r="H142" s="14" t="n"/>
      <c r="I142" s="21" t="n"/>
      <c r="J142" s="21" t="n"/>
      <c r="M142">
        <f>IF(G142="","",IF(G142&gt;=500,"Platinum",IF(G142&gt;=300,"Gold",IF(G142&gt;=100,"Silver","Bronze"))))</f>
        <v/>
      </c>
      <c r="N142" s="26">
        <f>IF(J142="","",TODAY()-J142)</f>
        <v/>
      </c>
    </row>
    <row r="143">
      <c r="G143" s="14" t="n"/>
      <c r="H143" s="14" t="n"/>
      <c r="I143" s="21" t="n"/>
      <c r="J143" s="21" t="n"/>
      <c r="M143">
        <f>IF(G143="","",IF(G143&gt;=500,"Platinum",IF(G143&gt;=300,"Gold",IF(G143&gt;=100,"Silver","Bronze"))))</f>
        <v/>
      </c>
      <c r="N143" s="26">
        <f>IF(J143="","",TODAY()-J143)</f>
        <v/>
      </c>
    </row>
    <row r="144">
      <c r="G144" s="14" t="n"/>
      <c r="H144" s="14" t="n"/>
      <c r="I144" s="21" t="n"/>
      <c r="J144" s="21" t="n"/>
      <c r="M144">
        <f>IF(G144="","",IF(G144&gt;=500,"Platinum",IF(G144&gt;=300,"Gold",IF(G144&gt;=100,"Silver","Bronze"))))</f>
        <v/>
      </c>
      <c r="N144" s="26">
        <f>IF(J144="","",TODAY()-J144)</f>
        <v/>
      </c>
    </row>
    <row r="145">
      <c r="G145" s="14" t="n"/>
      <c r="H145" s="14" t="n"/>
      <c r="I145" s="21" t="n"/>
      <c r="J145" s="21" t="n"/>
      <c r="M145">
        <f>IF(G145="","",IF(G145&gt;=500,"Platinum",IF(G145&gt;=300,"Gold",IF(G145&gt;=100,"Silver","Bronze"))))</f>
        <v/>
      </c>
      <c r="N145" s="26">
        <f>IF(J145="","",TODAY()-J145)</f>
        <v/>
      </c>
    </row>
    <row r="146">
      <c r="G146" s="14" t="n"/>
      <c r="H146" s="14" t="n"/>
      <c r="I146" s="21" t="n"/>
      <c r="J146" s="21" t="n"/>
      <c r="M146">
        <f>IF(G146="","",IF(G146&gt;=500,"Platinum",IF(G146&gt;=300,"Gold",IF(G146&gt;=100,"Silver","Bronze"))))</f>
        <v/>
      </c>
      <c r="N146" s="26">
        <f>IF(J146="","",TODAY()-J146)</f>
        <v/>
      </c>
    </row>
    <row r="147">
      <c r="G147" s="14" t="n"/>
      <c r="H147" s="14" t="n"/>
      <c r="I147" s="21" t="n"/>
      <c r="J147" s="21" t="n"/>
      <c r="M147">
        <f>IF(G147="","",IF(G147&gt;=500,"Platinum",IF(G147&gt;=300,"Gold",IF(G147&gt;=100,"Silver","Bronze"))))</f>
        <v/>
      </c>
      <c r="N147" s="26">
        <f>IF(J147="","",TODAY()-J147)</f>
        <v/>
      </c>
    </row>
    <row r="148">
      <c r="G148" s="14" t="n"/>
      <c r="H148" s="14" t="n"/>
      <c r="I148" s="21" t="n"/>
      <c r="J148" s="21" t="n"/>
      <c r="M148">
        <f>IF(G148="","",IF(G148&gt;=500,"Platinum",IF(G148&gt;=300,"Gold",IF(G148&gt;=100,"Silver","Bronze"))))</f>
        <v/>
      </c>
      <c r="N148" s="26">
        <f>IF(J148="","",TODAY()-J148)</f>
        <v/>
      </c>
    </row>
    <row r="149">
      <c r="G149" s="14" t="n"/>
      <c r="H149" s="14" t="n"/>
      <c r="I149" s="21" t="n"/>
      <c r="J149" s="21" t="n"/>
      <c r="M149">
        <f>IF(G149="","",IF(G149&gt;=500,"Platinum",IF(G149&gt;=300,"Gold",IF(G149&gt;=100,"Silver","Bronze"))))</f>
        <v/>
      </c>
      <c r="N149" s="26">
        <f>IF(J149="","",TODAY()-J149)</f>
        <v/>
      </c>
    </row>
    <row r="150">
      <c r="G150" s="14" t="n"/>
      <c r="H150" s="14" t="n"/>
      <c r="I150" s="21" t="n"/>
      <c r="J150" s="21" t="n"/>
      <c r="M150">
        <f>IF(G150="","",IF(G150&gt;=500,"Platinum",IF(G150&gt;=300,"Gold",IF(G150&gt;=100,"Silver","Bronze"))))</f>
        <v/>
      </c>
      <c r="N150" s="26">
        <f>IF(J150="","",TODAY()-J150)</f>
        <v/>
      </c>
    </row>
    <row r="151">
      <c r="G151" s="14" t="n"/>
      <c r="H151" s="14" t="n"/>
      <c r="I151" s="21" t="n"/>
      <c r="J151" s="21" t="n"/>
      <c r="M151">
        <f>IF(G151="","",IF(G151&gt;=500,"Platinum",IF(G151&gt;=300,"Gold",IF(G151&gt;=100,"Silver","Bronze"))))</f>
        <v/>
      </c>
      <c r="N151" s="26">
        <f>IF(J151="","",TODAY()-J151)</f>
        <v/>
      </c>
    </row>
    <row r="152">
      <c r="G152" s="14" t="n"/>
      <c r="H152" s="14" t="n"/>
      <c r="I152" s="21" t="n"/>
      <c r="J152" s="21" t="n"/>
      <c r="M152">
        <f>IF(G152="","",IF(G152&gt;=500,"Platinum",IF(G152&gt;=300,"Gold",IF(G152&gt;=100,"Silver","Bronze"))))</f>
        <v/>
      </c>
      <c r="N152" s="26">
        <f>IF(J152="","",TODAY()-J152)</f>
        <v/>
      </c>
    </row>
    <row r="153">
      <c r="G153" s="14" t="n"/>
      <c r="H153" s="14" t="n"/>
      <c r="I153" s="21" t="n"/>
      <c r="J153" s="21" t="n"/>
      <c r="M153">
        <f>IF(G153="","",IF(G153&gt;=500,"Platinum",IF(G153&gt;=300,"Gold",IF(G153&gt;=100,"Silver","Bronze"))))</f>
        <v/>
      </c>
      <c r="N153" s="26">
        <f>IF(J153="","",TODAY()-J153)</f>
        <v/>
      </c>
    </row>
    <row r="154">
      <c r="G154" s="14" t="n"/>
      <c r="H154" s="14" t="n"/>
      <c r="I154" s="21" t="n"/>
      <c r="J154" s="21" t="n"/>
      <c r="M154">
        <f>IF(G154="","",IF(G154&gt;=500,"Platinum",IF(G154&gt;=300,"Gold",IF(G154&gt;=100,"Silver","Bronze"))))</f>
        <v/>
      </c>
      <c r="N154" s="26">
        <f>IF(J154="","",TODAY()-J154)</f>
        <v/>
      </c>
    </row>
    <row r="155">
      <c r="G155" s="14" t="n"/>
      <c r="H155" s="14" t="n"/>
      <c r="I155" s="21" t="n"/>
      <c r="J155" s="21" t="n"/>
      <c r="M155">
        <f>IF(G155="","",IF(G155&gt;=500,"Platinum",IF(G155&gt;=300,"Gold",IF(G155&gt;=100,"Silver","Bronze"))))</f>
        <v/>
      </c>
      <c r="N155" s="26">
        <f>IF(J155="","",TODAY()-J155)</f>
        <v/>
      </c>
    </row>
    <row r="156">
      <c r="G156" s="14" t="n"/>
      <c r="H156" s="14" t="n"/>
      <c r="I156" s="21" t="n"/>
      <c r="J156" s="21" t="n"/>
      <c r="M156">
        <f>IF(G156="","",IF(G156&gt;=500,"Platinum",IF(G156&gt;=300,"Gold",IF(G156&gt;=100,"Silver","Bronze"))))</f>
        <v/>
      </c>
      <c r="N156" s="26">
        <f>IF(J156="","",TODAY()-J156)</f>
        <v/>
      </c>
    </row>
    <row r="157">
      <c r="G157" s="14" t="n"/>
      <c r="H157" s="14" t="n"/>
      <c r="I157" s="21" t="n"/>
      <c r="J157" s="21" t="n"/>
      <c r="M157">
        <f>IF(G157="","",IF(G157&gt;=500,"Platinum",IF(G157&gt;=300,"Gold",IF(G157&gt;=100,"Silver","Bronze"))))</f>
        <v/>
      </c>
      <c r="N157" s="26">
        <f>IF(J157="","",TODAY()-J157)</f>
        <v/>
      </c>
    </row>
    <row r="158">
      <c r="G158" s="14" t="n"/>
      <c r="H158" s="14" t="n"/>
      <c r="I158" s="21" t="n"/>
      <c r="J158" s="21" t="n"/>
      <c r="M158">
        <f>IF(G158="","",IF(G158&gt;=500,"Platinum",IF(G158&gt;=300,"Gold",IF(G158&gt;=100,"Silver","Bronze"))))</f>
        <v/>
      </c>
      <c r="N158" s="26">
        <f>IF(J158="","",TODAY()-J158)</f>
        <v/>
      </c>
    </row>
    <row r="159">
      <c r="G159" s="14" t="n"/>
      <c r="H159" s="14" t="n"/>
      <c r="I159" s="21" t="n"/>
      <c r="J159" s="21" t="n"/>
      <c r="M159">
        <f>IF(G159="","",IF(G159&gt;=500,"Platinum",IF(G159&gt;=300,"Gold",IF(G159&gt;=100,"Silver","Bronze"))))</f>
        <v/>
      </c>
      <c r="N159" s="26">
        <f>IF(J159="","",TODAY()-J159)</f>
        <v/>
      </c>
    </row>
    <row r="160">
      <c r="G160" s="14" t="n"/>
      <c r="H160" s="14" t="n"/>
      <c r="I160" s="21" t="n"/>
      <c r="J160" s="21" t="n"/>
      <c r="M160">
        <f>IF(G160="","",IF(G160&gt;=500,"Platinum",IF(G160&gt;=300,"Gold",IF(G160&gt;=100,"Silver","Bronze"))))</f>
        <v/>
      </c>
      <c r="N160" s="26">
        <f>IF(J160="","",TODAY()-J160)</f>
        <v/>
      </c>
    </row>
    <row r="161">
      <c r="G161" s="14" t="n"/>
      <c r="H161" s="14" t="n"/>
      <c r="I161" s="21" t="n"/>
      <c r="J161" s="21" t="n"/>
      <c r="M161">
        <f>IF(G161="","",IF(G161&gt;=500,"Platinum",IF(G161&gt;=300,"Gold",IF(G161&gt;=100,"Silver","Bronze"))))</f>
        <v/>
      </c>
      <c r="N161" s="26">
        <f>IF(J161="","",TODAY()-J161)</f>
        <v/>
      </c>
    </row>
    <row r="162">
      <c r="G162" s="14" t="n"/>
      <c r="H162" s="14" t="n"/>
      <c r="I162" s="21" t="n"/>
      <c r="J162" s="21" t="n"/>
      <c r="M162">
        <f>IF(G162="","",IF(G162&gt;=500,"Platinum",IF(G162&gt;=300,"Gold",IF(G162&gt;=100,"Silver","Bronze"))))</f>
        <v/>
      </c>
      <c r="N162" s="26">
        <f>IF(J162="","",TODAY()-J162)</f>
        <v/>
      </c>
    </row>
    <row r="163">
      <c r="G163" s="14" t="n"/>
      <c r="H163" s="14" t="n"/>
      <c r="I163" s="21" t="n"/>
      <c r="J163" s="21" t="n"/>
      <c r="M163">
        <f>IF(G163="","",IF(G163&gt;=500,"Platinum",IF(G163&gt;=300,"Gold",IF(G163&gt;=100,"Silver","Bronze"))))</f>
        <v/>
      </c>
      <c r="N163" s="26">
        <f>IF(J163="","",TODAY()-J163)</f>
        <v/>
      </c>
    </row>
    <row r="164">
      <c r="G164" s="14" t="n"/>
      <c r="H164" s="14" t="n"/>
      <c r="I164" s="21" t="n"/>
      <c r="J164" s="21" t="n"/>
      <c r="M164">
        <f>IF(G164="","",IF(G164&gt;=500,"Platinum",IF(G164&gt;=300,"Gold",IF(G164&gt;=100,"Silver","Bronze"))))</f>
        <v/>
      </c>
      <c r="N164" s="26">
        <f>IF(J164="","",TODAY()-J164)</f>
        <v/>
      </c>
    </row>
    <row r="165">
      <c r="G165" s="14" t="n"/>
      <c r="H165" s="14" t="n"/>
      <c r="I165" s="21" t="n"/>
      <c r="J165" s="21" t="n"/>
      <c r="M165">
        <f>IF(G165="","",IF(G165&gt;=500,"Platinum",IF(G165&gt;=300,"Gold",IF(G165&gt;=100,"Silver","Bronze"))))</f>
        <v/>
      </c>
      <c r="N165" s="26">
        <f>IF(J165="","",TODAY()-J165)</f>
        <v/>
      </c>
    </row>
    <row r="166">
      <c r="G166" s="14" t="n"/>
      <c r="H166" s="14" t="n"/>
      <c r="I166" s="21" t="n"/>
      <c r="J166" s="21" t="n"/>
      <c r="M166">
        <f>IF(G166="","",IF(G166&gt;=500,"Platinum",IF(G166&gt;=300,"Gold",IF(G166&gt;=100,"Silver","Bronze"))))</f>
        <v/>
      </c>
      <c r="N166" s="26">
        <f>IF(J166="","",TODAY()-J166)</f>
        <v/>
      </c>
    </row>
    <row r="167">
      <c r="G167" s="14" t="n"/>
      <c r="H167" s="14" t="n"/>
      <c r="I167" s="21" t="n"/>
      <c r="J167" s="21" t="n"/>
      <c r="M167">
        <f>IF(G167="","",IF(G167&gt;=500,"Platinum",IF(G167&gt;=300,"Gold",IF(G167&gt;=100,"Silver","Bronze"))))</f>
        <v/>
      </c>
      <c r="N167" s="26">
        <f>IF(J167="","",TODAY()-J167)</f>
        <v/>
      </c>
    </row>
    <row r="168">
      <c r="G168" s="14" t="n"/>
      <c r="H168" s="14" t="n"/>
      <c r="I168" s="21" t="n"/>
      <c r="J168" s="21" t="n"/>
      <c r="M168">
        <f>IF(G168="","",IF(G168&gt;=500,"Platinum",IF(G168&gt;=300,"Gold",IF(G168&gt;=100,"Silver","Bronze"))))</f>
        <v/>
      </c>
      <c r="N168" s="26">
        <f>IF(J168="","",TODAY()-J168)</f>
        <v/>
      </c>
    </row>
    <row r="169">
      <c r="G169" s="14" t="n"/>
      <c r="H169" s="14" t="n"/>
      <c r="I169" s="21" t="n"/>
      <c r="J169" s="21" t="n"/>
      <c r="M169">
        <f>IF(G169="","",IF(G169&gt;=500,"Platinum",IF(G169&gt;=300,"Gold",IF(G169&gt;=100,"Silver","Bronze"))))</f>
        <v/>
      </c>
      <c r="N169" s="26">
        <f>IF(J169="","",TODAY()-J169)</f>
        <v/>
      </c>
    </row>
    <row r="170">
      <c r="G170" s="14" t="n"/>
      <c r="H170" s="14" t="n"/>
      <c r="I170" s="21" t="n"/>
      <c r="J170" s="21" t="n"/>
      <c r="M170">
        <f>IF(G170="","",IF(G170&gt;=500,"Platinum",IF(G170&gt;=300,"Gold",IF(G170&gt;=100,"Silver","Bronze"))))</f>
        <v/>
      </c>
      <c r="N170" s="26">
        <f>IF(J170="","",TODAY()-J170)</f>
        <v/>
      </c>
    </row>
    <row r="171">
      <c r="G171" s="14" t="n"/>
      <c r="H171" s="14" t="n"/>
      <c r="I171" s="21" t="n"/>
      <c r="J171" s="21" t="n"/>
      <c r="M171">
        <f>IF(G171="","",IF(G171&gt;=500,"Platinum",IF(G171&gt;=300,"Gold",IF(G171&gt;=100,"Silver","Bronze"))))</f>
        <v/>
      </c>
      <c r="N171" s="26">
        <f>IF(J171="","",TODAY()-J171)</f>
        <v/>
      </c>
    </row>
    <row r="172">
      <c r="G172" s="14" t="n"/>
      <c r="H172" s="14" t="n"/>
      <c r="I172" s="21" t="n"/>
      <c r="J172" s="21" t="n"/>
      <c r="M172">
        <f>IF(G172="","",IF(G172&gt;=500,"Platinum",IF(G172&gt;=300,"Gold",IF(G172&gt;=100,"Silver","Bronze"))))</f>
        <v/>
      </c>
      <c r="N172" s="26">
        <f>IF(J172="","",TODAY()-J172)</f>
        <v/>
      </c>
    </row>
    <row r="173">
      <c r="G173" s="14" t="n"/>
      <c r="H173" s="14" t="n"/>
      <c r="I173" s="21" t="n"/>
      <c r="J173" s="21" t="n"/>
      <c r="M173">
        <f>IF(G173="","",IF(G173&gt;=500,"Platinum",IF(G173&gt;=300,"Gold",IF(G173&gt;=100,"Silver","Bronze"))))</f>
        <v/>
      </c>
      <c r="N173" s="26">
        <f>IF(J173="","",TODAY()-J173)</f>
        <v/>
      </c>
    </row>
    <row r="174">
      <c r="G174" s="14" t="n"/>
      <c r="H174" s="14" t="n"/>
      <c r="I174" s="21" t="n"/>
      <c r="J174" s="21" t="n"/>
      <c r="M174">
        <f>IF(G174="","",IF(G174&gt;=500,"Platinum",IF(G174&gt;=300,"Gold",IF(G174&gt;=100,"Silver","Bronze"))))</f>
        <v/>
      </c>
      <c r="N174" s="26">
        <f>IF(J174="","",TODAY()-J174)</f>
        <v/>
      </c>
    </row>
    <row r="175">
      <c r="G175" s="14" t="n"/>
      <c r="H175" s="14" t="n"/>
      <c r="I175" s="21" t="n"/>
      <c r="J175" s="21" t="n"/>
      <c r="M175">
        <f>IF(G175="","",IF(G175&gt;=500,"Platinum",IF(G175&gt;=300,"Gold",IF(G175&gt;=100,"Silver","Bronze"))))</f>
        <v/>
      </c>
      <c r="N175" s="26">
        <f>IF(J175="","",TODAY()-J175)</f>
        <v/>
      </c>
    </row>
    <row r="176">
      <c r="G176" s="14" t="n"/>
      <c r="H176" s="14" t="n"/>
      <c r="I176" s="21" t="n"/>
      <c r="J176" s="21" t="n"/>
      <c r="M176">
        <f>IF(G176="","",IF(G176&gt;=500,"Platinum",IF(G176&gt;=300,"Gold",IF(G176&gt;=100,"Silver","Bronze"))))</f>
        <v/>
      </c>
      <c r="N176" s="26">
        <f>IF(J176="","",TODAY()-J176)</f>
        <v/>
      </c>
    </row>
    <row r="177">
      <c r="G177" s="14" t="n"/>
      <c r="H177" s="14" t="n"/>
      <c r="I177" s="21" t="n"/>
      <c r="J177" s="21" t="n"/>
      <c r="M177">
        <f>IF(G177="","",IF(G177&gt;=500,"Platinum",IF(G177&gt;=300,"Gold",IF(G177&gt;=100,"Silver","Bronze"))))</f>
        <v/>
      </c>
      <c r="N177" s="26">
        <f>IF(J177="","",TODAY()-J177)</f>
        <v/>
      </c>
    </row>
    <row r="178">
      <c r="G178" s="14" t="n"/>
      <c r="H178" s="14" t="n"/>
      <c r="I178" s="21" t="n"/>
      <c r="J178" s="21" t="n"/>
      <c r="M178">
        <f>IF(G178="","",IF(G178&gt;=500,"Platinum",IF(G178&gt;=300,"Gold",IF(G178&gt;=100,"Silver","Bronze"))))</f>
        <v/>
      </c>
      <c r="N178" s="26">
        <f>IF(J178="","",TODAY()-J178)</f>
        <v/>
      </c>
    </row>
    <row r="179">
      <c r="G179" s="14" t="n"/>
      <c r="H179" s="14" t="n"/>
      <c r="I179" s="21" t="n"/>
      <c r="J179" s="21" t="n"/>
      <c r="M179">
        <f>IF(G179="","",IF(G179&gt;=500,"Platinum",IF(G179&gt;=300,"Gold",IF(G179&gt;=100,"Silver","Bronze"))))</f>
        <v/>
      </c>
      <c r="N179" s="26">
        <f>IF(J179="","",TODAY()-J179)</f>
        <v/>
      </c>
    </row>
    <row r="180">
      <c r="G180" s="14" t="n"/>
      <c r="H180" s="14" t="n"/>
      <c r="I180" s="21" t="n"/>
      <c r="J180" s="21" t="n"/>
      <c r="M180">
        <f>IF(G180="","",IF(G180&gt;=500,"Platinum",IF(G180&gt;=300,"Gold",IF(G180&gt;=100,"Silver","Bronze"))))</f>
        <v/>
      </c>
      <c r="N180" s="26">
        <f>IF(J180="","",TODAY()-J180)</f>
        <v/>
      </c>
    </row>
    <row r="181">
      <c r="G181" s="14" t="n"/>
      <c r="H181" s="14" t="n"/>
      <c r="I181" s="21" t="n"/>
      <c r="J181" s="21" t="n"/>
      <c r="M181">
        <f>IF(G181="","",IF(G181&gt;=500,"Platinum",IF(G181&gt;=300,"Gold",IF(G181&gt;=100,"Silver","Bronze"))))</f>
        <v/>
      </c>
      <c r="N181" s="26">
        <f>IF(J181="","",TODAY()-J181)</f>
        <v/>
      </c>
    </row>
    <row r="182">
      <c r="G182" s="14" t="n"/>
      <c r="H182" s="14" t="n"/>
      <c r="I182" s="21" t="n"/>
      <c r="J182" s="21" t="n"/>
      <c r="M182">
        <f>IF(G182="","",IF(G182&gt;=500,"Platinum",IF(G182&gt;=300,"Gold",IF(G182&gt;=100,"Silver","Bronze"))))</f>
        <v/>
      </c>
      <c r="N182" s="26">
        <f>IF(J182="","",TODAY()-J182)</f>
        <v/>
      </c>
    </row>
    <row r="183">
      <c r="G183" s="14" t="n"/>
      <c r="H183" s="14" t="n"/>
      <c r="I183" s="21" t="n"/>
      <c r="J183" s="21" t="n"/>
      <c r="M183">
        <f>IF(G183="","",IF(G183&gt;=500,"Platinum",IF(G183&gt;=300,"Gold",IF(G183&gt;=100,"Silver","Bronze"))))</f>
        <v/>
      </c>
      <c r="N183" s="26">
        <f>IF(J183="","",TODAY()-J183)</f>
        <v/>
      </c>
    </row>
    <row r="184">
      <c r="G184" s="14" t="n"/>
      <c r="H184" s="14" t="n"/>
      <c r="I184" s="21" t="n"/>
      <c r="J184" s="21" t="n"/>
      <c r="M184">
        <f>IF(G184="","",IF(G184&gt;=500,"Platinum",IF(G184&gt;=300,"Gold",IF(G184&gt;=100,"Silver","Bronze"))))</f>
        <v/>
      </c>
      <c r="N184" s="26">
        <f>IF(J184="","",TODAY()-J184)</f>
        <v/>
      </c>
    </row>
    <row r="185">
      <c r="G185" s="14" t="n"/>
      <c r="H185" s="14" t="n"/>
      <c r="I185" s="21" t="n"/>
      <c r="J185" s="21" t="n"/>
      <c r="M185">
        <f>IF(G185="","",IF(G185&gt;=500,"Platinum",IF(G185&gt;=300,"Gold",IF(G185&gt;=100,"Silver","Bronze"))))</f>
        <v/>
      </c>
      <c r="N185" s="26">
        <f>IF(J185="","",TODAY()-J185)</f>
        <v/>
      </c>
    </row>
    <row r="186">
      <c r="G186" s="14" t="n"/>
      <c r="H186" s="14" t="n"/>
      <c r="I186" s="21" t="n"/>
      <c r="J186" s="21" t="n"/>
      <c r="M186">
        <f>IF(G186="","",IF(G186&gt;=500,"Platinum",IF(G186&gt;=300,"Gold",IF(G186&gt;=100,"Silver","Bronze"))))</f>
        <v/>
      </c>
      <c r="N186" s="26">
        <f>IF(J186="","",TODAY()-J186)</f>
        <v/>
      </c>
    </row>
    <row r="187">
      <c r="G187" s="14" t="n"/>
      <c r="H187" s="14" t="n"/>
      <c r="I187" s="21" t="n"/>
      <c r="J187" s="21" t="n"/>
      <c r="M187">
        <f>IF(G187="","",IF(G187&gt;=500,"Platinum",IF(G187&gt;=300,"Gold",IF(G187&gt;=100,"Silver","Bronze"))))</f>
        <v/>
      </c>
      <c r="N187" s="26">
        <f>IF(J187="","",TODAY()-J187)</f>
        <v/>
      </c>
    </row>
    <row r="188">
      <c r="G188" s="14" t="n"/>
      <c r="H188" s="14" t="n"/>
      <c r="I188" s="21" t="n"/>
      <c r="J188" s="21" t="n"/>
      <c r="M188">
        <f>IF(G188="","",IF(G188&gt;=500,"Platinum",IF(G188&gt;=300,"Gold",IF(G188&gt;=100,"Silver","Bronze"))))</f>
        <v/>
      </c>
      <c r="N188" s="26">
        <f>IF(J188="","",TODAY()-J188)</f>
        <v/>
      </c>
    </row>
    <row r="189">
      <c r="G189" s="14" t="n"/>
      <c r="H189" s="14" t="n"/>
      <c r="I189" s="21" t="n"/>
      <c r="J189" s="21" t="n"/>
      <c r="M189">
        <f>IF(G189="","",IF(G189&gt;=500,"Platinum",IF(G189&gt;=300,"Gold",IF(G189&gt;=100,"Silver","Bronze"))))</f>
        <v/>
      </c>
      <c r="N189" s="26">
        <f>IF(J189="","",TODAY()-J189)</f>
        <v/>
      </c>
    </row>
    <row r="190">
      <c r="G190" s="14" t="n"/>
      <c r="H190" s="14" t="n"/>
      <c r="I190" s="21" t="n"/>
      <c r="J190" s="21" t="n"/>
      <c r="M190">
        <f>IF(G190="","",IF(G190&gt;=500,"Platinum",IF(G190&gt;=300,"Gold",IF(G190&gt;=100,"Silver","Bronze"))))</f>
        <v/>
      </c>
      <c r="N190" s="26">
        <f>IF(J190="","",TODAY()-J190)</f>
        <v/>
      </c>
    </row>
    <row r="191">
      <c r="G191" s="14" t="n"/>
      <c r="H191" s="14" t="n"/>
      <c r="I191" s="21" t="n"/>
      <c r="J191" s="21" t="n"/>
      <c r="M191">
        <f>IF(G191="","",IF(G191&gt;=500,"Platinum",IF(G191&gt;=300,"Gold",IF(G191&gt;=100,"Silver","Bronze"))))</f>
        <v/>
      </c>
      <c r="N191" s="26">
        <f>IF(J191="","",TODAY()-J191)</f>
        <v/>
      </c>
    </row>
    <row r="192">
      <c r="G192" s="14" t="n"/>
      <c r="H192" s="14" t="n"/>
      <c r="I192" s="21" t="n"/>
      <c r="J192" s="21" t="n"/>
      <c r="M192">
        <f>IF(G192="","",IF(G192&gt;=500,"Platinum",IF(G192&gt;=300,"Gold",IF(G192&gt;=100,"Silver","Bronze"))))</f>
        <v/>
      </c>
      <c r="N192" s="26">
        <f>IF(J192="","",TODAY()-J192)</f>
        <v/>
      </c>
    </row>
    <row r="193">
      <c r="G193" s="14" t="n"/>
      <c r="H193" s="14" t="n"/>
      <c r="I193" s="21" t="n"/>
      <c r="J193" s="21" t="n"/>
      <c r="M193">
        <f>IF(G193="","",IF(G193&gt;=500,"Platinum",IF(G193&gt;=300,"Gold",IF(G193&gt;=100,"Silver","Bronze"))))</f>
        <v/>
      </c>
      <c r="N193" s="26">
        <f>IF(J193="","",TODAY()-J193)</f>
        <v/>
      </c>
    </row>
    <row r="194">
      <c r="G194" s="14" t="n"/>
      <c r="H194" s="14" t="n"/>
      <c r="I194" s="21" t="n"/>
      <c r="J194" s="21" t="n"/>
      <c r="M194">
        <f>IF(G194="","",IF(G194&gt;=500,"Platinum",IF(G194&gt;=300,"Gold",IF(G194&gt;=100,"Silver","Bronze"))))</f>
        <v/>
      </c>
      <c r="N194" s="26">
        <f>IF(J194="","",TODAY()-J194)</f>
        <v/>
      </c>
    </row>
    <row r="195">
      <c r="G195" s="14" t="n"/>
      <c r="H195" s="14" t="n"/>
      <c r="I195" s="21" t="n"/>
      <c r="J195" s="21" t="n"/>
      <c r="M195">
        <f>IF(G195="","",IF(G195&gt;=500,"Platinum",IF(G195&gt;=300,"Gold",IF(G195&gt;=100,"Silver","Bronze"))))</f>
        <v/>
      </c>
      <c r="N195" s="26">
        <f>IF(J195="","",TODAY()-J195)</f>
        <v/>
      </c>
    </row>
    <row r="196">
      <c r="G196" s="14" t="n"/>
      <c r="H196" s="14" t="n"/>
      <c r="I196" s="21" t="n"/>
      <c r="J196" s="21" t="n"/>
      <c r="M196">
        <f>IF(G196="","",IF(G196&gt;=500,"Platinum",IF(G196&gt;=300,"Gold",IF(G196&gt;=100,"Silver","Bronze"))))</f>
        <v/>
      </c>
      <c r="N196" s="26">
        <f>IF(J196="","",TODAY()-J196)</f>
        <v/>
      </c>
    </row>
    <row r="197">
      <c r="G197" s="14" t="n"/>
      <c r="H197" s="14" t="n"/>
      <c r="I197" s="21" t="n"/>
      <c r="J197" s="21" t="n"/>
      <c r="M197">
        <f>IF(G197="","",IF(G197&gt;=500,"Platinum",IF(G197&gt;=300,"Gold",IF(G197&gt;=100,"Silver","Bronze"))))</f>
        <v/>
      </c>
      <c r="N197" s="26">
        <f>IF(J197="","",TODAY()-J197)</f>
        <v/>
      </c>
    </row>
    <row r="198">
      <c r="G198" s="14" t="n"/>
      <c r="H198" s="14" t="n"/>
      <c r="I198" s="21" t="n"/>
      <c r="J198" s="21" t="n"/>
      <c r="M198">
        <f>IF(G198="","",IF(G198&gt;=500,"Platinum",IF(G198&gt;=300,"Gold",IF(G198&gt;=100,"Silver","Bronze"))))</f>
        <v/>
      </c>
      <c r="N198" s="26">
        <f>IF(J198="","",TODAY()-J198)</f>
        <v/>
      </c>
    </row>
    <row r="199">
      <c r="G199" s="14" t="n"/>
      <c r="H199" s="14" t="n"/>
      <c r="I199" s="21" t="n"/>
      <c r="J199" s="21" t="n"/>
      <c r="M199">
        <f>IF(G199="","",IF(G199&gt;=500,"Platinum",IF(G199&gt;=300,"Gold",IF(G199&gt;=100,"Silver","Bronze"))))</f>
        <v/>
      </c>
      <c r="N199" s="26">
        <f>IF(J199="","",TODAY()-J199)</f>
        <v/>
      </c>
    </row>
    <row r="200">
      <c r="G200" s="14" t="n"/>
      <c r="H200" s="14" t="n"/>
      <c r="I200" s="21" t="n"/>
      <c r="J200" s="21" t="n"/>
      <c r="M200">
        <f>IF(G200="","",IF(G200&gt;=500,"Platinum",IF(G200&gt;=300,"Gold",IF(G200&gt;=100,"Silver","Bronze"))))</f>
        <v/>
      </c>
      <c r="N200" s="26">
        <f>IF(J200="","",TODAY()-J200)</f>
        <v/>
      </c>
    </row>
    <row r="201">
      <c r="G201" s="14" t="n"/>
      <c r="H201" s="14" t="n"/>
      <c r="I201" s="21" t="n"/>
      <c r="J201" s="21" t="n"/>
      <c r="M201">
        <f>IF(G201="","",IF(G201&gt;=500,"Platinum",IF(G201&gt;=300,"Gold",IF(G201&gt;=100,"Silver","Bronze"))))</f>
        <v/>
      </c>
      <c r="N201" s="26">
        <f>IF(J201="","",TODAY()-J201)</f>
        <v/>
      </c>
    </row>
    <row r="202">
      <c r="G202" s="14" t="n"/>
      <c r="H202" s="14" t="n"/>
      <c r="I202" s="21" t="n"/>
      <c r="J202" s="21" t="n"/>
      <c r="M202">
        <f>IF(G202="","",IF(G202&gt;=500,"Platinum",IF(G202&gt;=300,"Gold",IF(G202&gt;=100,"Silver","Bronze"))))</f>
        <v/>
      </c>
      <c r="N202" s="26">
        <f>IF(J202="","",TODAY()-J202)</f>
        <v/>
      </c>
    </row>
    <row r="203">
      <c r="G203" s="14" t="n"/>
      <c r="H203" s="14" t="n"/>
      <c r="I203" s="21" t="n"/>
      <c r="J203" s="21" t="n"/>
      <c r="M203">
        <f>IF(G203="","",IF(G203&gt;=500,"Platinum",IF(G203&gt;=300,"Gold",IF(G203&gt;=100,"Silver","Bronze"))))</f>
        <v/>
      </c>
      <c r="N203" s="26">
        <f>IF(J203="","",TODAY()-J203)</f>
        <v/>
      </c>
    </row>
    <row r="204">
      <c r="G204" s="14" t="n"/>
      <c r="H204" s="14" t="n"/>
      <c r="I204" s="21" t="n"/>
      <c r="J204" s="21" t="n"/>
      <c r="M204">
        <f>IF(G204="","",IF(G204&gt;=500,"Platinum",IF(G204&gt;=300,"Gold",IF(G204&gt;=100,"Silver","Bronze"))))</f>
        <v/>
      </c>
      <c r="N204" s="26">
        <f>IF(J204="","",TODAY()-J204)</f>
        <v/>
      </c>
    </row>
    <row r="205">
      <c r="G205" s="14" t="n"/>
      <c r="H205" s="14" t="n"/>
      <c r="I205" s="21" t="n"/>
      <c r="J205" s="21" t="n"/>
      <c r="M205">
        <f>IF(G205="","",IF(G205&gt;=500,"Platinum",IF(G205&gt;=300,"Gold",IF(G205&gt;=100,"Silver","Bronze"))))</f>
        <v/>
      </c>
      <c r="N205" s="26">
        <f>IF(J205="","",TODAY()-J205)</f>
        <v/>
      </c>
    </row>
    <row r="206">
      <c r="G206" s="14" t="n"/>
      <c r="H206" s="14" t="n"/>
      <c r="I206" s="21" t="n"/>
      <c r="J206" s="21" t="n"/>
      <c r="M206">
        <f>IF(G206="","",IF(G206&gt;=500,"Platinum",IF(G206&gt;=300,"Gold",IF(G206&gt;=100,"Silver","Bronze"))))</f>
        <v/>
      </c>
      <c r="N206" s="26">
        <f>IF(J206="","",TODAY()-J206)</f>
        <v/>
      </c>
    </row>
    <row r="207">
      <c r="G207" s="14" t="n"/>
      <c r="H207" s="14" t="n"/>
      <c r="I207" s="21" t="n"/>
      <c r="J207" s="21" t="n"/>
      <c r="M207">
        <f>IF(G207="","",IF(G207&gt;=500,"Platinum",IF(G207&gt;=300,"Gold",IF(G207&gt;=100,"Silver","Bronze"))))</f>
        <v/>
      </c>
      <c r="N207" s="26">
        <f>IF(J207="","",TODAY()-J207)</f>
        <v/>
      </c>
    </row>
    <row r="208">
      <c r="G208" s="14" t="n"/>
      <c r="H208" s="14" t="n"/>
      <c r="I208" s="21" t="n"/>
      <c r="J208" s="21" t="n"/>
      <c r="M208">
        <f>IF(G208="","",IF(G208&gt;=500,"Platinum",IF(G208&gt;=300,"Gold",IF(G208&gt;=100,"Silver","Bronze"))))</f>
        <v/>
      </c>
      <c r="N208" s="26">
        <f>IF(J208="","",TODAY()-J208)</f>
        <v/>
      </c>
    </row>
    <row r="209">
      <c r="G209" s="14" t="n"/>
      <c r="H209" s="14" t="n"/>
      <c r="I209" s="21" t="n"/>
      <c r="J209" s="21" t="n"/>
      <c r="M209">
        <f>IF(G209="","",IF(G209&gt;=500,"Platinum",IF(G209&gt;=300,"Gold",IF(G209&gt;=100,"Silver","Bronze"))))</f>
        <v/>
      </c>
      <c r="N209" s="26">
        <f>IF(J209="","",TODAY()-J209)</f>
        <v/>
      </c>
    </row>
    <row r="210">
      <c r="G210" s="14" t="n"/>
      <c r="H210" s="14" t="n"/>
      <c r="I210" s="21" t="n"/>
      <c r="J210" s="21" t="n"/>
      <c r="M210">
        <f>IF(G210="","",IF(G210&gt;=500,"Platinum",IF(G210&gt;=300,"Gold",IF(G210&gt;=100,"Silver","Bronze"))))</f>
        <v/>
      </c>
      <c r="N210" s="26">
        <f>IF(J210="","",TODAY()-J210)</f>
        <v/>
      </c>
    </row>
    <row r="211">
      <c r="G211" s="14" t="n"/>
      <c r="H211" s="14" t="n"/>
      <c r="I211" s="21" t="n"/>
      <c r="J211" s="21" t="n"/>
      <c r="M211">
        <f>IF(G211="","",IF(G211&gt;=500,"Platinum",IF(G211&gt;=300,"Gold",IF(G211&gt;=100,"Silver","Bronze"))))</f>
        <v/>
      </c>
      <c r="N211" s="26">
        <f>IF(J211="","",TODAY()-J211)</f>
        <v/>
      </c>
    </row>
    <row r="212">
      <c r="G212" s="14" t="n"/>
      <c r="H212" s="14" t="n"/>
      <c r="I212" s="21" t="n"/>
      <c r="J212" s="21" t="n"/>
      <c r="M212">
        <f>IF(G212="","",IF(G212&gt;=500,"Platinum",IF(G212&gt;=300,"Gold",IF(G212&gt;=100,"Silver","Bronze"))))</f>
        <v/>
      </c>
      <c r="N212" s="26">
        <f>IF(J212="","",TODAY()-J212)</f>
        <v/>
      </c>
    </row>
    <row r="213">
      <c r="G213" s="14" t="n"/>
      <c r="H213" s="14" t="n"/>
      <c r="I213" s="21" t="n"/>
      <c r="J213" s="21" t="n"/>
      <c r="M213">
        <f>IF(G213="","",IF(G213&gt;=500,"Platinum",IF(G213&gt;=300,"Gold",IF(G213&gt;=100,"Silver","Bronze"))))</f>
        <v/>
      </c>
      <c r="N213" s="26">
        <f>IF(J213="","",TODAY()-J213)</f>
        <v/>
      </c>
    </row>
    <row r="214">
      <c r="G214" s="14" t="n"/>
      <c r="H214" s="14" t="n"/>
      <c r="I214" s="21" t="n"/>
      <c r="J214" s="21" t="n"/>
      <c r="M214">
        <f>IF(G214="","",IF(G214&gt;=500,"Platinum",IF(G214&gt;=300,"Gold",IF(G214&gt;=100,"Silver","Bronze"))))</f>
        <v/>
      </c>
      <c r="N214" s="26">
        <f>IF(J214="","",TODAY()-J214)</f>
        <v/>
      </c>
    </row>
    <row r="215">
      <c r="G215" s="14" t="n"/>
      <c r="H215" s="14" t="n"/>
      <c r="I215" s="21" t="n"/>
      <c r="J215" s="21" t="n"/>
      <c r="M215">
        <f>IF(G215="","",IF(G215&gt;=500,"Platinum",IF(G215&gt;=300,"Gold",IF(G215&gt;=100,"Silver","Bronze"))))</f>
        <v/>
      </c>
      <c r="N215" s="26">
        <f>IF(J215="","",TODAY()-J215)</f>
        <v/>
      </c>
    </row>
    <row r="216">
      <c r="G216" s="14" t="n"/>
      <c r="H216" s="14" t="n"/>
      <c r="I216" s="21" t="n"/>
      <c r="J216" s="21" t="n"/>
      <c r="M216">
        <f>IF(G216="","",IF(G216&gt;=500,"Platinum",IF(G216&gt;=300,"Gold",IF(G216&gt;=100,"Silver","Bronze"))))</f>
        <v/>
      </c>
      <c r="N216" s="26">
        <f>IF(J216="","",TODAY()-J216)</f>
        <v/>
      </c>
    </row>
    <row r="217">
      <c r="G217" s="14" t="n"/>
      <c r="H217" s="14" t="n"/>
      <c r="I217" s="21" t="n"/>
      <c r="J217" s="21" t="n"/>
      <c r="M217">
        <f>IF(G217="","",IF(G217&gt;=500,"Platinum",IF(G217&gt;=300,"Gold",IF(G217&gt;=100,"Silver","Bronze"))))</f>
        <v/>
      </c>
      <c r="N217" s="26">
        <f>IF(J217="","",TODAY()-J217)</f>
        <v/>
      </c>
    </row>
    <row r="218">
      <c r="G218" s="14" t="n"/>
      <c r="H218" s="14" t="n"/>
      <c r="I218" s="21" t="n"/>
      <c r="J218" s="21" t="n"/>
      <c r="M218">
        <f>IF(G218="","",IF(G218&gt;=500,"Platinum",IF(G218&gt;=300,"Gold",IF(G218&gt;=100,"Silver","Bronze"))))</f>
        <v/>
      </c>
      <c r="N218" s="26">
        <f>IF(J218="","",TODAY()-J218)</f>
        <v/>
      </c>
    </row>
    <row r="219">
      <c r="G219" s="14" t="n"/>
      <c r="H219" s="14" t="n"/>
      <c r="I219" s="21" t="n"/>
      <c r="J219" s="21" t="n"/>
      <c r="M219">
        <f>IF(G219="","",IF(G219&gt;=500,"Platinum",IF(G219&gt;=300,"Gold",IF(G219&gt;=100,"Silver","Bronze"))))</f>
        <v/>
      </c>
      <c r="N219" s="26">
        <f>IF(J219="","",TODAY()-J219)</f>
        <v/>
      </c>
    </row>
    <row r="220">
      <c r="G220" s="14" t="n"/>
      <c r="H220" s="14" t="n"/>
      <c r="I220" s="21" t="n"/>
      <c r="J220" s="21" t="n"/>
      <c r="M220">
        <f>IF(G220="","",IF(G220&gt;=500,"Platinum",IF(G220&gt;=300,"Gold",IF(G220&gt;=100,"Silver","Bronze"))))</f>
        <v/>
      </c>
      <c r="N220" s="26">
        <f>IF(J220="","",TODAY()-J220)</f>
        <v/>
      </c>
    </row>
    <row r="221">
      <c r="G221" s="14" t="n"/>
      <c r="H221" s="14" t="n"/>
      <c r="I221" s="21" t="n"/>
      <c r="J221" s="21" t="n"/>
      <c r="M221">
        <f>IF(G221="","",IF(G221&gt;=500,"Platinum",IF(G221&gt;=300,"Gold",IF(G221&gt;=100,"Silver","Bronze"))))</f>
        <v/>
      </c>
      <c r="N221" s="26">
        <f>IF(J221="","",TODAY()-J221)</f>
        <v/>
      </c>
    </row>
    <row r="222">
      <c r="G222" s="14" t="n"/>
      <c r="H222" s="14" t="n"/>
      <c r="I222" s="21" t="n"/>
      <c r="J222" s="21" t="n"/>
      <c r="M222">
        <f>IF(G222="","",IF(G222&gt;=500,"Platinum",IF(G222&gt;=300,"Gold",IF(G222&gt;=100,"Silver","Bronze"))))</f>
        <v/>
      </c>
      <c r="N222" s="26">
        <f>IF(J222="","",TODAY()-J222)</f>
        <v/>
      </c>
    </row>
    <row r="223">
      <c r="G223" s="14" t="n"/>
      <c r="H223" s="14" t="n"/>
      <c r="I223" s="21" t="n"/>
      <c r="J223" s="21" t="n"/>
      <c r="M223">
        <f>IF(G223="","",IF(G223&gt;=500,"Platinum",IF(G223&gt;=300,"Gold",IF(G223&gt;=100,"Silver","Bronze"))))</f>
        <v/>
      </c>
      <c r="N223" s="26">
        <f>IF(J223="","",TODAY()-J223)</f>
        <v/>
      </c>
    </row>
    <row r="224">
      <c r="G224" s="14" t="n"/>
      <c r="H224" s="14" t="n"/>
      <c r="I224" s="21" t="n"/>
      <c r="J224" s="21" t="n"/>
      <c r="M224">
        <f>IF(G224="","",IF(G224&gt;=500,"Platinum",IF(G224&gt;=300,"Gold",IF(G224&gt;=100,"Silver","Bronze"))))</f>
        <v/>
      </c>
      <c r="N224" s="26">
        <f>IF(J224="","",TODAY()-J224)</f>
        <v/>
      </c>
    </row>
    <row r="225">
      <c r="G225" s="14" t="n"/>
      <c r="H225" s="14" t="n"/>
      <c r="I225" s="21" t="n"/>
      <c r="J225" s="21" t="n"/>
      <c r="M225">
        <f>IF(G225="","",IF(G225&gt;=500,"Platinum",IF(G225&gt;=300,"Gold",IF(G225&gt;=100,"Silver","Bronze"))))</f>
        <v/>
      </c>
      <c r="N225" s="26">
        <f>IF(J225="","",TODAY()-J225)</f>
        <v/>
      </c>
    </row>
    <row r="226">
      <c r="G226" s="14" t="n"/>
      <c r="H226" s="14" t="n"/>
      <c r="I226" s="21" t="n"/>
      <c r="J226" s="21" t="n"/>
      <c r="M226">
        <f>IF(G226="","",IF(G226&gt;=500,"Platinum",IF(G226&gt;=300,"Gold",IF(G226&gt;=100,"Silver","Bronze"))))</f>
        <v/>
      </c>
      <c r="N226" s="26">
        <f>IF(J226="","",TODAY()-J226)</f>
        <v/>
      </c>
    </row>
    <row r="227">
      <c r="G227" s="14" t="n"/>
      <c r="H227" s="14" t="n"/>
      <c r="I227" s="21" t="n"/>
      <c r="J227" s="21" t="n"/>
      <c r="M227">
        <f>IF(G227="","",IF(G227&gt;=500,"Platinum",IF(G227&gt;=300,"Gold",IF(G227&gt;=100,"Silver","Bronze"))))</f>
        <v/>
      </c>
      <c r="N227" s="26">
        <f>IF(J227="","",TODAY()-J227)</f>
        <v/>
      </c>
    </row>
    <row r="228">
      <c r="G228" s="14" t="n"/>
      <c r="H228" s="14" t="n"/>
      <c r="I228" s="21" t="n"/>
      <c r="J228" s="21" t="n"/>
      <c r="M228">
        <f>IF(G228="","",IF(G228&gt;=500,"Platinum",IF(G228&gt;=300,"Gold",IF(G228&gt;=100,"Silver","Bronze"))))</f>
        <v/>
      </c>
      <c r="N228" s="26">
        <f>IF(J228="","",TODAY()-J228)</f>
        <v/>
      </c>
    </row>
    <row r="229">
      <c r="G229" s="14" t="n"/>
      <c r="H229" s="14" t="n"/>
      <c r="I229" s="21" t="n"/>
      <c r="J229" s="21" t="n"/>
      <c r="M229">
        <f>IF(G229="","",IF(G229&gt;=500,"Platinum",IF(G229&gt;=300,"Gold",IF(G229&gt;=100,"Silver","Bronze"))))</f>
        <v/>
      </c>
      <c r="N229" s="26">
        <f>IF(J229="","",TODAY()-J229)</f>
        <v/>
      </c>
    </row>
    <row r="230">
      <c r="G230" s="14" t="n"/>
      <c r="H230" s="14" t="n"/>
      <c r="I230" s="21" t="n"/>
      <c r="J230" s="21" t="n"/>
      <c r="M230">
        <f>IF(G230="","",IF(G230&gt;=500,"Platinum",IF(G230&gt;=300,"Gold",IF(G230&gt;=100,"Silver","Bronze"))))</f>
        <v/>
      </c>
      <c r="N230" s="26">
        <f>IF(J230="","",TODAY()-J230)</f>
        <v/>
      </c>
    </row>
    <row r="231">
      <c r="G231" s="14" t="n"/>
      <c r="H231" s="14" t="n"/>
      <c r="I231" s="21" t="n"/>
      <c r="J231" s="21" t="n"/>
      <c r="M231">
        <f>IF(G231="","",IF(G231&gt;=500,"Platinum",IF(G231&gt;=300,"Gold",IF(G231&gt;=100,"Silver","Bronze"))))</f>
        <v/>
      </c>
      <c r="N231" s="26">
        <f>IF(J231="","",TODAY()-J231)</f>
        <v/>
      </c>
    </row>
    <row r="232">
      <c r="G232" s="14" t="n"/>
      <c r="H232" s="14" t="n"/>
      <c r="I232" s="21" t="n"/>
      <c r="J232" s="21" t="n"/>
      <c r="M232">
        <f>IF(G232="","",IF(G232&gt;=500,"Platinum",IF(G232&gt;=300,"Gold",IF(G232&gt;=100,"Silver","Bronze"))))</f>
        <v/>
      </c>
      <c r="N232" s="26">
        <f>IF(J232="","",TODAY()-J232)</f>
        <v/>
      </c>
    </row>
    <row r="233">
      <c r="G233" s="14" t="n"/>
      <c r="H233" s="14" t="n"/>
      <c r="I233" s="21" t="n"/>
      <c r="J233" s="21" t="n"/>
      <c r="M233">
        <f>IF(G233="","",IF(G233&gt;=500,"Platinum",IF(G233&gt;=300,"Gold",IF(G233&gt;=100,"Silver","Bronze"))))</f>
        <v/>
      </c>
      <c r="N233" s="26">
        <f>IF(J233="","",TODAY()-J233)</f>
        <v/>
      </c>
    </row>
    <row r="234">
      <c r="G234" s="14" t="n"/>
      <c r="H234" s="14" t="n"/>
      <c r="I234" s="21" t="n"/>
      <c r="J234" s="21" t="n"/>
      <c r="M234">
        <f>IF(G234="","",IF(G234&gt;=500,"Platinum",IF(G234&gt;=300,"Gold",IF(G234&gt;=100,"Silver","Bronze"))))</f>
        <v/>
      </c>
      <c r="N234" s="26">
        <f>IF(J234="","",TODAY()-J234)</f>
        <v/>
      </c>
    </row>
    <row r="235">
      <c r="G235" s="14" t="n"/>
      <c r="H235" s="14" t="n"/>
      <c r="I235" s="21" t="n"/>
      <c r="J235" s="21" t="n"/>
      <c r="M235">
        <f>IF(G235="","",IF(G235&gt;=500,"Platinum",IF(G235&gt;=300,"Gold",IF(G235&gt;=100,"Silver","Bronze"))))</f>
        <v/>
      </c>
      <c r="N235" s="26">
        <f>IF(J235="","",TODAY()-J235)</f>
        <v/>
      </c>
    </row>
    <row r="236">
      <c r="G236" s="14" t="n"/>
      <c r="H236" s="14" t="n"/>
      <c r="I236" s="21" t="n"/>
      <c r="J236" s="21" t="n"/>
      <c r="M236">
        <f>IF(G236="","",IF(G236&gt;=500,"Platinum",IF(G236&gt;=300,"Gold",IF(G236&gt;=100,"Silver","Bronze"))))</f>
        <v/>
      </c>
      <c r="N236" s="26">
        <f>IF(J236="","",TODAY()-J236)</f>
        <v/>
      </c>
    </row>
    <row r="237">
      <c r="G237" s="14" t="n"/>
      <c r="H237" s="14" t="n"/>
      <c r="I237" s="21" t="n"/>
      <c r="J237" s="21" t="n"/>
      <c r="M237">
        <f>IF(G237="","",IF(G237&gt;=500,"Platinum",IF(G237&gt;=300,"Gold",IF(G237&gt;=100,"Silver","Bronze"))))</f>
        <v/>
      </c>
      <c r="N237" s="26">
        <f>IF(J237="","",TODAY()-J237)</f>
        <v/>
      </c>
    </row>
    <row r="238">
      <c r="G238" s="14" t="n"/>
      <c r="H238" s="14" t="n"/>
      <c r="I238" s="21" t="n"/>
      <c r="J238" s="21" t="n"/>
      <c r="M238">
        <f>IF(G238="","",IF(G238&gt;=500,"Platinum",IF(G238&gt;=300,"Gold",IF(G238&gt;=100,"Silver","Bronze"))))</f>
        <v/>
      </c>
      <c r="N238" s="26">
        <f>IF(J238="","",TODAY()-J238)</f>
        <v/>
      </c>
    </row>
    <row r="239">
      <c r="G239" s="14" t="n"/>
      <c r="H239" s="14" t="n"/>
      <c r="I239" s="21" t="n"/>
      <c r="J239" s="21" t="n"/>
      <c r="M239">
        <f>IF(G239="","",IF(G239&gt;=500,"Platinum",IF(G239&gt;=300,"Gold",IF(G239&gt;=100,"Silver","Bronze"))))</f>
        <v/>
      </c>
      <c r="N239" s="26">
        <f>IF(J239="","",TODAY()-J239)</f>
        <v/>
      </c>
    </row>
    <row r="240">
      <c r="G240" s="14" t="n"/>
      <c r="H240" s="14" t="n"/>
      <c r="I240" s="21" t="n"/>
      <c r="J240" s="21" t="n"/>
      <c r="M240">
        <f>IF(G240="","",IF(G240&gt;=500,"Platinum",IF(G240&gt;=300,"Gold",IF(G240&gt;=100,"Silver","Bronze"))))</f>
        <v/>
      </c>
      <c r="N240" s="26">
        <f>IF(J240="","",TODAY()-J240)</f>
        <v/>
      </c>
    </row>
    <row r="241">
      <c r="G241" s="14" t="n"/>
      <c r="H241" s="14" t="n"/>
      <c r="I241" s="21" t="n"/>
      <c r="J241" s="21" t="n"/>
      <c r="M241">
        <f>IF(G241="","",IF(G241&gt;=500,"Platinum",IF(G241&gt;=300,"Gold",IF(G241&gt;=100,"Silver","Bronze"))))</f>
        <v/>
      </c>
      <c r="N241" s="26">
        <f>IF(J241="","",TODAY()-J241)</f>
        <v/>
      </c>
    </row>
    <row r="242">
      <c r="G242" s="14" t="n"/>
      <c r="H242" s="14" t="n"/>
      <c r="I242" s="21" t="n"/>
      <c r="J242" s="21" t="n"/>
      <c r="M242">
        <f>IF(G242="","",IF(G242&gt;=500,"Platinum",IF(G242&gt;=300,"Gold",IF(G242&gt;=100,"Silver","Bronze"))))</f>
        <v/>
      </c>
      <c r="N242" s="26">
        <f>IF(J242="","",TODAY()-J242)</f>
        <v/>
      </c>
    </row>
    <row r="243">
      <c r="G243" s="14" t="n"/>
      <c r="H243" s="14" t="n"/>
      <c r="I243" s="21" t="n"/>
      <c r="J243" s="21" t="n"/>
      <c r="M243">
        <f>IF(G243="","",IF(G243&gt;=500,"Platinum",IF(G243&gt;=300,"Gold",IF(G243&gt;=100,"Silver","Bronze"))))</f>
        <v/>
      </c>
      <c r="N243" s="26">
        <f>IF(J243="","",TODAY()-J243)</f>
        <v/>
      </c>
    </row>
    <row r="244">
      <c r="G244" s="14" t="n"/>
      <c r="H244" s="14" t="n"/>
      <c r="I244" s="21" t="n"/>
      <c r="J244" s="21" t="n"/>
      <c r="M244">
        <f>IF(G244="","",IF(G244&gt;=500,"Platinum",IF(G244&gt;=300,"Gold",IF(G244&gt;=100,"Silver","Bronze"))))</f>
        <v/>
      </c>
      <c r="N244" s="26">
        <f>IF(J244="","",TODAY()-J244)</f>
        <v/>
      </c>
    </row>
    <row r="245">
      <c r="G245" s="14" t="n"/>
      <c r="H245" s="14" t="n"/>
      <c r="I245" s="21" t="n"/>
      <c r="J245" s="21" t="n"/>
      <c r="M245">
        <f>IF(G245="","",IF(G245&gt;=500,"Platinum",IF(G245&gt;=300,"Gold",IF(G245&gt;=100,"Silver","Bronze"))))</f>
        <v/>
      </c>
      <c r="N245" s="26">
        <f>IF(J245="","",TODAY()-J245)</f>
        <v/>
      </c>
    </row>
    <row r="246">
      <c r="G246" s="14" t="n"/>
      <c r="H246" s="14" t="n"/>
      <c r="I246" s="21" t="n"/>
      <c r="J246" s="21" t="n"/>
      <c r="M246">
        <f>IF(G246="","",IF(G246&gt;=500,"Platinum",IF(G246&gt;=300,"Gold",IF(G246&gt;=100,"Silver","Bronze"))))</f>
        <v/>
      </c>
      <c r="N246" s="26">
        <f>IF(J246="","",TODAY()-J246)</f>
        <v/>
      </c>
    </row>
    <row r="247">
      <c r="G247" s="14" t="n"/>
      <c r="H247" s="14" t="n"/>
      <c r="I247" s="21" t="n"/>
      <c r="J247" s="21" t="n"/>
      <c r="M247">
        <f>IF(G247="","",IF(G247&gt;=500,"Platinum",IF(G247&gt;=300,"Gold",IF(G247&gt;=100,"Silver","Bronze"))))</f>
        <v/>
      </c>
      <c r="N247" s="26">
        <f>IF(J247="","",TODAY()-J247)</f>
        <v/>
      </c>
    </row>
    <row r="248">
      <c r="G248" s="14" t="n"/>
      <c r="H248" s="14" t="n"/>
      <c r="I248" s="21" t="n"/>
      <c r="J248" s="21" t="n"/>
      <c r="M248">
        <f>IF(G248="","",IF(G248&gt;=500,"Platinum",IF(G248&gt;=300,"Gold",IF(G248&gt;=100,"Silver","Bronze"))))</f>
        <v/>
      </c>
      <c r="N248" s="26">
        <f>IF(J248="","",TODAY()-J248)</f>
        <v/>
      </c>
    </row>
    <row r="249">
      <c r="G249" s="14" t="n"/>
      <c r="H249" s="14" t="n"/>
      <c r="I249" s="21" t="n"/>
      <c r="J249" s="21" t="n"/>
      <c r="M249">
        <f>IF(G249="","",IF(G249&gt;=500,"Platinum",IF(G249&gt;=300,"Gold",IF(G249&gt;=100,"Silver","Bronze"))))</f>
        <v/>
      </c>
      <c r="N249" s="26">
        <f>IF(J249="","",TODAY()-J249)</f>
        <v/>
      </c>
    </row>
    <row r="250">
      <c r="G250" s="14" t="n"/>
      <c r="H250" s="14" t="n"/>
      <c r="I250" s="21" t="n"/>
      <c r="J250" s="21" t="n"/>
      <c r="M250">
        <f>IF(G250="","",IF(G250&gt;=500,"Platinum",IF(G250&gt;=300,"Gold",IF(G250&gt;=100,"Silver","Bronze"))))</f>
        <v/>
      </c>
      <c r="N250" s="26">
        <f>IF(J250="","",TODAY()-J250)</f>
        <v/>
      </c>
    </row>
    <row r="251">
      <c r="G251" s="14" t="n"/>
      <c r="H251" s="14" t="n"/>
      <c r="I251" s="21" t="n"/>
      <c r="J251" s="21" t="n"/>
      <c r="M251">
        <f>IF(G251="","",IF(G251&gt;=500,"Platinum",IF(G251&gt;=300,"Gold",IF(G251&gt;=100,"Silver","Bronze"))))</f>
        <v/>
      </c>
      <c r="N251" s="26">
        <f>IF(J251="","",TODAY()-J251)</f>
        <v/>
      </c>
    </row>
    <row r="252">
      <c r="G252" s="14" t="n"/>
      <c r="H252" s="14" t="n"/>
      <c r="I252" s="21" t="n"/>
      <c r="J252" s="21" t="n"/>
      <c r="M252">
        <f>IF(G252="","",IF(G252&gt;=500,"Platinum",IF(G252&gt;=300,"Gold",IF(G252&gt;=100,"Silver","Bronze"))))</f>
        <v/>
      </c>
      <c r="N252" s="26">
        <f>IF(J252="","",TODAY()-J252)</f>
        <v/>
      </c>
    </row>
    <row r="253">
      <c r="G253" s="14" t="n"/>
      <c r="H253" s="14" t="n"/>
      <c r="I253" s="21" t="n"/>
      <c r="J253" s="21" t="n"/>
      <c r="M253">
        <f>IF(G253="","",IF(G253&gt;=500,"Platinum",IF(G253&gt;=300,"Gold",IF(G253&gt;=100,"Silver","Bronze"))))</f>
        <v/>
      </c>
      <c r="N253" s="26">
        <f>IF(J253="","",TODAY()-J253)</f>
        <v/>
      </c>
    </row>
    <row r="254">
      <c r="G254" s="14" t="n"/>
      <c r="H254" s="14" t="n"/>
      <c r="I254" s="21" t="n"/>
      <c r="J254" s="21" t="n"/>
      <c r="M254">
        <f>IF(G254="","",IF(G254&gt;=500,"Platinum",IF(G254&gt;=300,"Gold",IF(G254&gt;=100,"Silver","Bronze"))))</f>
        <v/>
      </c>
      <c r="N254" s="26">
        <f>IF(J254="","",TODAY()-J254)</f>
        <v/>
      </c>
    </row>
    <row r="255">
      <c r="G255" s="14" t="n"/>
      <c r="H255" s="14" t="n"/>
      <c r="I255" s="21" t="n"/>
      <c r="J255" s="21" t="n"/>
      <c r="M255">
        <f>IF(G255="","",IF(G255&gt;=500,"Platinum",IF(G255&gt;=300,"Gold",IF(G255&gt;=100,"Silver","Bronze"))))</f>
        <v/>
      </c>
      <c r="N255" s="26">
        <f>IF(J255="","",TODAY()-J255)</f>
        <v/>
      </c>
    </row>
    <row r="256">
      <c r="G256" s="14" t="n"/>
      <c r="H256" s="14" t="n"/>
      <c r="I256" s="21" t="n"/>
      <c r="J256" s="21" t="n"/>
      <c r="M256">
        <f>IF(G256="","",IF(G256&gt;=500,"Platinum",IF(G256&gt;=300,"Gold",IF(G256&gt;=100,"Silver","Bronze"))))</f>
        <v/>
      </c>
      <c r="N256" s="26">
        <f>IF(J256="","",TODAY()-J256)</f>
        <v/>
      </c>
    </row>
    <row r="257">
      <c r="G257" s="14" t="n"/>
      <c r="H257" s="14" t="n"/>
      <c r="I257" s="21" t="n"/>
      <c r="J257" s="21" t="n"/>
      <c r="M257">
        <f>IF(G257="","",IF(G257&gt;=500,"Platinum",IF(G257&gt;=300,"Gold",IF(G257&gt;=100,"Silver","Bronze"))))</f>
        <v/>
      </c>
      <c r="N257" s="26">
        <f>IF(J257="","",TODAY()-J257)</f>
        <v/>
      </c>
    </row>
    <row r="258">
      <c r="G258" s="14" t="n"/>
      <c r="H258" s="14" t="n"/>
      <c r="I258" s="21" t="n"/>
      <c r="J258" s="21" t="n"/>
      <c r="M258">
        <f>IF(G258="","",IF(G258&gt;=500,"Platinum",IF(G258&gt;=300,"Gold",IF(G258&gt;=100,"Silver","Bronze"))))</f>
        <v/>
      </c>
      <c r="N258" s="26">
        <f>IF(J258="","",TODAY()-J258)</f>
        <v/>
      </c>
    </row>
    <row r="259">
      <c r="G259" s="14" t="n"/>
      <c r="H259" s="14" t="n"/>
      <c r="I259" s="21" t="n"/>
      <c r="J259" s="21" t="n"/>
      <c r="M259">
        <f>IF(G259="","",IF(G259&gt;=500,"Platinum",IF(G259&gt;=300,"Gold",IF(G259&gt;=100,"Silver","Bronze"))))</f>
        <v/>
      </c>
      <c r="N259" s="26">
        <f>IF(J259="","",TODAY()-J259)</f>
        <v/>
      </c>
    </row>
    <row r="260">
      <c r="G260" s="14" t="n"/>
      <c r="H260" s="14" t="n"/>
      <c r="I260" s="21" t="n"/>
      <c r="J260" s="21" t="n"/>
      <c r="M260">
        <f>IF(G260="","",IF(G260&gt;=500,"Platinum",IF(G260&gt;=300,"Gold",IF(G260&gt;=100,"Silver","Bronze"))))</f>
        <v/>
      </c>
      <c r="N260" s="26">
        <f>IF(J260="","",TODAY()-J260)</f>
        <v/>
      </c>
    </row>
    <row r="261">
      <c r="G261" s="14" t="n"/>
      <c r="H261" s="14" t="n"/>
      <c r="I261" s="21" t="n"/>
      <c r="J261" s="21" t="n"/>
      <c r="M261">
        <f>IF(G261="","",IF(G261&gt;=500,"Platinum",IF(G261&gt;=300,"Gold",IF(G261&gt;=100,"Silver","Bronze"))))</f>
        <v/>
      </c>
      <c r="N261" s="26">
        <f>IF(J261="","",TODAY()-J261)</f>
        <v/>
      </c>
    </row>
    <row r="262">
      <c r="G262" s="14" t="n"/>
      <c r="H262" s="14" t="n"/>
      <c r="I262" s="21" t="n"/>
      <c r="J262" s="21" t="n"/>
      <c r="M262">
        <f>IF(G262="","",IF(G262&gt;=500,"Platinum",IF(G262&gt;=300,"Gold",IF(G262&gt;=100,"Silver","Bronze"))))</f>
        <v/>
      </c>
      <c r="N262" s="26">
        <f>IF(J262="","",TODAY()-J262)</f>
        <v/>
      </c>
    </row>
    <row r="263">
      <c r="G263" s="14" t="n"/>
      <c r="H263" s="14" t="n"/>
      <c r="I263" s="21" t="n"/>
      <c r="J263" s="21" t="n"/>
      <c r="M263">
        <f>IF(G263="","",IF(G263&gt;=500,"Platinum",IF(G263&gt;=300,"Gold",IF(G263&gt;=100,"Silver","Bronze"))))</f>
        <v/>
      </c>
      <c r="N263" s="26">
        <f>IF(J263="","",TODAY()-J263)</f>
        <v/>
      </c>
    </row>
    <row r="264">
      <c r="G264" s="14" t="n"/>
      <c r="H264" s="14" t="n"/>
      <c r="I264" s="21" t="n"/>
      <c r="J264" s="21" t="n"/>
      <c r="M264">
        <f>IF(G264="","",IF(G264&gt;=500,"Platinum",IF(G264&gt;=300,"Gold",IF(G264&gt;=100,"Silver","Bronze"))))</f>
        <v/>
      </c>
      <c r="N264" s="26">
        <f>IF(J264="","",TODAY()-J264)</f>
        <v/>
      </c>
    </row>
    <row r="265">
      <c r="G265" s="14" t="n"/>
      <c r="H265" s="14" t="n"/>
      <c r="I265" s="21" t="n"/>
      <c r="J265" s="21" t="n"/>
      <c r="M265">
        <f>IF(G265="","",IF(G265&gt;=500,"Platinum",IF(G265&gt;=300,"Gold",IF(G265&gt;=100,"Silver","Bronze"))))</f>
        <v/>
      </c>
      <c r="N265" s="26">
        <f>IF(J265="","",TODAY()-J265)</f>
        <v/>
      </c>
    </row>
    <row r="266">
      <c r="G266" s="14" t="n"/>
      <c r="H266" s="14" t="n"/>
      <c r="I266" s="21" t="n"/>
      <c r="J266" s="21" t="n"/>
      <c r="M266">
        <f>IF(G266="","",IF(G266&gt;=500,"Platinum",IF(G266&gt;=300,"Gold",IF(G266&gt;=100,"Silver","Bronze"))))</f>
        <v/>
      </c>
      <c r="N266" s="26">
        <f>IF(J266="","",TODAY()-J266)</f>
        <v/>
      </c>
    </row>
    <row r="267">
      <c r="G267" s="14" t="n"/>
      <c r="H267" s="14" t="n"/>
      <c r="I267" s="21" t="n"/>
      <c r="J267" s="21" t="n"/>
      <c r="M267">
        <f>IF(G267="","",IF(G267&gt;=500,"Platinum",IF(G267&gt;=300,"Gold",IF(G267&gt;=100,"Silver","Bronze"))))</f>
        <v/>
      </c>
      <c r="N267" s="26">
        <f>IF(J267="","",TODAY()-J267)</f>
        <v/>
      </c>
    </row>
    <row r="268">
      <c r="G268" s="14" t="n"/>
      <c r="H268" s="14" t="n"/>
      <c r="I268" s="21" t="n"/>
      <c r="J268" s="21" t="n"/>
      <c r="M268">
        <f>IF(G268="","",IF(G268&gt;=500,"Platinum",IF(G268&gt;=300,"Gold",IF(G268&gt;=100,"Silver","Bronze"))))</f>
        <v/>
      </c>
      <c r="N268" s="26">
        <f>IF(J268="","",TODAY()-J268)</f>
        <v/>
      </c>
    </row>
    <row r="269">
      <c r="G269" s="14" t="n"/>
      <c r="H269" s="14" t="n"/>
      <c r="I269" s="21" t="n"/>
      <c r="J269" s="21" t="n"/>
      <c r="M269">
        <f>IF(G269="","",IF(G269&gt;=500,"Platinum",IF(G269&gt;=300,"Gold",IF(G269&gt;=100,"Silver","Bronze"))))</f>
        <v/>
      </c>
      <c r="N269" s="26">
        <f>IF(J269="","",TODAY()-J269)</f>
        <v/>
      </c>
    </row>
    <row r="270">
      <c r="G270" s="14" t="n"/>
      <c r="H270" s="14" t="n"/>
      <c r="I270" s="21" t="n"/>
      <c r="J270" s="21" t="n"/>
      <c r="M270">
        <f>IF(G270="","",IF(G270&gt;=500,"Platinum",IF(G270&gt;=300,"Gold",IF(G270&gt;=100,"Silver","Bronze"))))</f>
        <v/>
      </c>
      <c r="N270" s="26">
        <f>IF(J270="","",TODAY()-J270)</f>
        <v/>
      </c>
    </row>
    <row r="271">
      <c r="G271" s="14" t="n"/>
      <c r="H271" s="14" t="n"/>
      <c r="I271" s="21" t="n"/>
      <c r="J271" s="21" t="n"/>
      <c r="M271">
        <f>IF(G271="","",IF(G271&gt;=500,"Platinum",IF(G271&gt;=300,"Gold",IF(G271&gt;=100,"Silver","Bronze"))))</f>
        <v/>
      </c>
      <c r="N271" s="26">
        <f>IF(J271="","",TODAY()-J271)</f>
        <v/>
      </c>
    </row>
    <row r="272">
      <c r="G272" s="14" t="n"/>
      <c r="H272" s="14" t="n"/>
      <c r="I272" s="21" t="n"/>
      <c r="J272" s="21" t="n"/>
      <c r="M272">
        <f>IF(G272="","",IF(G272&gt;=500,"Platinum",IF(G272&gt;=300,"Gold",IF(G272&gt;=100,"Silver","Bronze"))))</f>
        <v/>
      </c>
      <c r="N272" s="26">
        <f>IF(J272="","",TODAY()-J272)</f>
        <v/>
      </c>
    </row>
    <row r="273">
      <c r="G273" s="14" t="n"/>
      <c r="H273" s="14" t="n"/>
      <c r="I273" s="21" t="n"/>
      <c r="J273" s="21" t="n"/>
      <c r="M273">
        <f>IF(G273="","",IF(G273&gt;=500,"Platinum",IF(G273&gt;=300,"Gold",IF(G273&gt;=100,"Silver","Bronze"))))</f>
        <v/>
      </c>
      <c r="N273" s="26">
        <f>IF(J273="","",TODAY()-J273)</f>
        <v/>
      </c>
    </row>
    <row r="274">
      <c r="G274" s="14" t="n"/>
      <c r="H274" s="14" t="n"/>
      <c r="I274" s="21" t="n"/>
      <c r="J274" s="21" t="n"/>
      <c r="M274">
        <f>IF(G274="","",IF(G274&gt;=500,"Platinum",IF(G274&gt;=300,"Gold",IF(G274&gt;=100,"Silver","Bronze"))))</f>
        <v/>
      </c>
      <c r="N274" s="26">
        <f>IF(J274="","",TODAY()-J274)</f>
        <v/>
      </c>
    </row>
    <row r="275">
      <c r="G275" s="14" t="n"/>
      <c r="H275" s="14" t="n"/>
      <c r="I275" s="21" t="n"/>
      <c r="J275" s="21" t="n"/>
      <c r="M275">
        <f>IF(G275="","",IF(G275&gt;=500,"Platinum",IF(G275&gt;=300,"Gold",IF(G275&gt;=100,"Silver","Bronze"))))</f>
        <v/>
      </c>
      <c r="N275" s="26">
        <f>IF(J275="","",TODAY()-J275)</f>
        <v/>
      </c>
    </row>
    <row r="276">
      <c r="G276" s="14" t="n"/>
      <c r="H276" s="14" t="n"/>
      <c r="I276" s="21" t="n"/>
      <c r="J276" s="21" t="n"/>
      <c r="M276">
        <f>IF(G276="","",IF(G276&gt;=500,"Platinum",IF(G276&gt;=300,"Gold",IF(G276&gt;=100,"Silver","Bronze"))))</f>
        <v/>
      </c>
      <c r="N276" s="26">
        <f>IF(J276="","",TODAY()-J276)</f>
        <v/>
      </c>
    </row>
    <row r="277">
      <c r="G277" s="14" t="n"/>
      <c r="H277" s="14" t="n"/>
      <c r="I277" s="21" t="n"/>
      <c r="J277" s="21" t="n"/>
      <c r="M277">
        <f>IF(G277="","",IF(G277&gt;=500,"Platinum",IF(G277&gt;=300,"Gold",IF(G277&gt;=100,"Silver","Bronze"))))</f>
        <v/>
      </c>
      <c r="N277" s="26">
        <f>IF(J277="","",TODAY()-J277)</f>
        <v/>
      </c>
    </row>
    <row r="278">
      <c r="G278" s="14" t="n"/>
      <c r="H278" s="14" t="n"/>
      <c r="I278" s="21" t="n"/>
      <c r="J278" s="21" t="n"/>
      <c r="M278">
        <f>IF(G278="","",IF(G278&gt;=500,"Platinum",IF(G278&gt;=300,"Gold",IF(G278&gt;=100,"Silver","Bronze"))))</f>
        <v/>
      </c>
      <c r="N278" s="26">
        <f>IF(J278="","",TODAY()-J278)</f>
        <v/>
      </c>
    </row>
    <row r="279">
      <c r="G279" s="14" t="n"/>
      <c r="H279" s="14" t="n"/>
      <c r="I279" s="21" t="n"/>
      <c r="J279" s="21" t="n"/>
      <c r="M279">
        <f>IF(G279="","",IF(G279&gt;=500,"Platinum",IF(G279&gt;=300,"Gold",IF(G279&gt;=100,"Silver","Bronze"))))</f>
        <v/>
      </c>
      <c r="N279" s="26">
        <f>IF(J279="","",TODAY()-J279)</f>
        <v/>
      </c>
    </row>
    <row r="280">
      <c r="G280" s="14" t="n"/>
      <c r="H280" s="14" t="n"/>
      <c r="I280" s="21" t="n"/>
      <c r="J280" s="21" t="n"/>
      <c r="M280">
        <f>IF(G280="","",IF(G280&gt;=500,"Platinum",IF(G280&gt;=300,"Gold",IF(G280&gt;=100,"Silver","Bronze"))))</f>
        <v/>
      </c>
      <c r="N280" s="26">
        <f>IF(J280="","",TODAY()-J280)</f>
        <v/>
      </c>
    </row>
    <row r="281">
      <c r="G281" s="14" t="n"/>
      <c r="H281" s="14" t="n"/>
      <c r="I281" s="21" t="n"/>
      <c r="J281" s="21" t="n"/>
      <c r="M281">
        <f>IF(G281="","",IF(G281&gt;=500,"Platinum",IF(G281&gt;=300,"Gold",IF(G281&gt;=100,"Silver","Bronze"))))</f>
        <v/>
      </c>
      <c r="N281" s="26">
        <f>IF(J281="","",TODAY()-J281)</f>
        <v/>
      </c>
    </row>
    <row r="282">
      <c r="G282" s="14" t="n"/>
      <c r="H282" s="14" t="n"/>
      <c r="I282" s="21" t="n"/>
      <c r="J282" s="21" t="n"/>
      <c r="M282">
        <f>IF(G282="","",IF(G282&gt;=500,"Platinum",IF(G282&gt;=300,"Gold",IF(G282&gt;=100,"Silver","Bronze"))))</f>
        <v/>
      </c>
      <c r="N282" s="26">
        <f>IF(J282="","",TODAY()-J282)</f>
        <v/>
      </c>
    </row>
    <row r="283">
      <c r="G283" s="14" t="n"/>
      <c r="H283" s="14" t="n"/>
      <c r="I283" s="21" t="n"/>
      <c r="J283" s="21" t="n"/>
      <c r="M283">
        <f>IF(G283="","",IF(G283&gt;=500,"Platinum",IF(G283&gt;=300,"Gold",IF(G283&gt;=100,"Silver","Bronze"))))</f>
        <v/>
      </c>
      <c r="N283" s="26">
        <f>IF(J283="","",TODAY()-J283)</f>
        <v/>
      </c>
    </row>
    <row r="284">
      <c r="G284" s="14" t="n"/>
      <c r="H284" s="14" t="n"/>
      <c r="I284" s="21" t="n"/>
      <c r="J284" s="21" t="n"/>
      <c r="M284">
        <f>IF(G284="","",IF(G284&gt;=500,"Platinum",IF(G284&gt;=300,"Gold",IF(G284&gt;=100,"Silver","Bronze"))))</f>
        <v/>
      </c>
      <c r="N284" s="26">
        <f>IF(J284="","",TODAY()-J284)</f>
        <v/>
      </c>
    </row>
    <row r="285">
      <c r="G285" s="14" t="n"/>
      <c r="H285" s="14" t="n"/>
      <c r="I285" s="21" t="n"/>
      <c r="J285" s="21" t="n"/>
      <c r="M285">
        <f>IF(G285="","",IF(G285&gt;=500,"Platinum",IF(G285&gt;=300,"Gold",IF(G285&gt;=100,"Silver","Bronze"))))</f>
        <v/>
      </c>
      <c r="N285" s="26">
        <f>IF(J285="","",TODAY()-J285)</f>
        <v/>
      </c>
    </row>
    <row r="286">
      <c r="G286" s="14" t="n"/>
      <c r="H286" s="14" t="n"/>
      <c r="I286" s="21" t="n"/>
      <c r="J286" s="21" t="n"/>
      <c r="M286">
        <f>IF(G286="","",IF(G286&gt;=500,"Platinum",IF(G286&gt;=300,"Gold",IF(G286&gt;=100,"Silver","Bronze"))))</f>
        <v/>
      </c>
      <c r="N286" s="26">
        <f>IF(J286="","",TODAY()-J286)</f>
        <v/>
      </c>
    </row>
    <row r="287">
      <c r="G287" s="14" t="n"/>
      <c r="H287" s="14" t="n"/>
      <c r="I287" s="21" t="n"/>
      <c r="J287" s="21" t="n"/>
      <c r="M287">
        <f>IF(G287="","",IF(G287&gt;=500,"Platinum",IF(G287&gt;=300,"Gold",IF(G287&gt;=100,"Silver","Bronze"))))</f>
        <v/>
      </c>
      <c r="N287" s="26">
        <f>IF(J287="","",TODAY()-J287)</f>
        <v/>
      </c>
    </row>
    <row r="288">
      <c r="G288" s="14" t="n"/>
      <c r="H288" s="14" t="n"/>
      <c r="I288" s="21" t="n"/>
      <c r="J288" s="21" t="n"/>
      <c r="M288">
        <f>IF(G288="","",IF(G288&gt;=500,"Platinum",IF(G288&gt;=300,"Gold",IF(G288&gt;=100,"Silver","Bronze"))))</f>
        <v/>
      </c>
      <c r="N288" s="26">
        <f>IF(J288="","",TODAY()-J288)</f>
        <v/>
      </c>
    </row>
    <row r="289">
      <c r="G289" s="14" t="n"/>
      <c r="H289" s="14" t="n"/>
      <c r="I289" s="21" t="n"/>
      <c r="J289" s="21" t="n"/>
      <c r="M289">
        <f>IF(G289="","",IF(G289&gt;=500,"Platinum",IF(G289&gt;=300,"Gold",IF(G289&gt;=100,"Silver","Bronze"))))</f>
        <v/>
      </c>
      <c r="N289" s="26">
        <f>IF(J289="","",TODAY()-J289)</f>
        <v/>
      </c>
    </row>
    <row r="290">
      <c r="G290" s="14" t="n"/>
      <c r="H290" s="14" t="n"/>
      <c r="I290" s="21" t="n"/>
      <c r="J290" s="21" t="n"/>
      <c r="M290">
        <f>IF(G290="","",IF(G290&gt;=500,"Platinum",IF(G290&gt;=300,"Gold",IF(G290&gt;=100,"Silver","Bronze"))))</f>
        <v/>
      </c>
      <c r="N290" s="26">
        <f>IF(J290="","",TODAY()-J290)</f>
        <v/>
      </c>
    </row>
    <row r="291">
      <c r="G291" s="14" t="n"/>
      <c r="H291" s="14" t="n"/>
      <c r="I291" s="21" t="n"/>
      <c r="J291" s="21" t="n"/>
      <c r="M291">
        <f>IF(G291="","",IF(G291&gt;=500,"Platinum",IF(G291&gt;=300,"Gold",IF(G291&gt;=100,"Silver","Bronze"))))</f>
        <v/>
      </c>
      <c r="N291" s="26">
        <f>IF(J291="","",TODAY()-J291)</f>
        <v/>
      </c>
    </row>
    <row r="292">
      <c r="G292" s="14" t="n"/>
      <c r="H292" s="14" t="n"/>
      <c r="I292" s="21" t="n"/>
      <c r="J292" s="21" t="n"/>
      <c r="M292">
        <f>IF(G292="","",IF(G292&gt;=500,"Platinum",IF(G292&gt;=300,"Gold",IF(G292&gt;=100,"Silver","Bronze"))))</f>
        <v/>
      </c>
      <c r="N292" s="26">
        <f>IF(J292="","",TODAY()-J292)</f>
        <v/>
      </c>
    </row>
    <row r="293">
      <c r="G293" s="14" t="n"/>
      <c r="H293" s="14" t="n"/>
      <c r="I293" s="21" t="n"/>
      <c r="J293" s="21" t="n"/>
      <c r="M293">
        <f>IF(G293="","",IF(G293&gt;=500,"Platinum",IF(G293&gt;=300,"Gold",IF(G293&gt;=100,"Silver","Bronze"))))</f>
        <v/>
      </c>
      <c r="N293" s="26">
        <f>IF(J293="","",TODAY()-J293)</f>
        <v/>
      </c>
    </row>
    <row r="294">
      <c r="G294" s="14" t="n"/>
      <c r="H294" s="14" t="n"/>
      <c r="I294" s="21" t="n"/>
      <c r="J294" s="21" t="n"/>
      <c r="M294">
        <f>IF(G294="","",IF(G294&gt;=500,"Platinum",IF(G294&gt;=300,"Gold",IF(G294&gt;=100,"Silver","Bronze"))))</f>
        <v/>
      </c>
      <c r="N294" s="26">
        <f>IF(J294="","",TODAY()-J294)</f>
        <v/>
      </c>
    </row>
    <row r="295">
      <c r="G295" s="14" t="n"/>
      <c r="H295" s="14" t="n"/>
      <c r="I295" s="21" t="n"/>
      <c r="J295" s="21" t="n"/>
      <c r="M295">
        <f>IF(G295="","",IF(G295&gt;=500,"Platinum",IF(G295&gt;=300,"Gold",IF(G295&gt;=100,"Silver","Bronze"))))</f>
        <v/>
      </c>
      <c r="N295" s="26">
        <f>IF(J295="","",TODAY()-J295)</f>
        <v/>
      </c>
    </row>
    <row r="296">
      <c r="G296" s="14" t="n"/>
      <c r="H296" s="14" t="n"/>
      <c r="I296" s="21" t="n"/>
      <c r="J296" s="21" t="n"/>
      <c r="M296">
        <f>IF(G296="","",IF(G296&gt;=500,"Platinum",IF(G296&gt;=300,"Gold",IF(G296&gt;=100,"Silver","Bronze"))))</f>
        <v/>
      </c>
      <c r="N296" s="26">
        <f>IF(J296="","",TODAY()-J296)</f>
        <v/>
      </c>
    </row>
    <row r="297">
      <c r="G297" s="14" t="n"/>
      <c r="H297" s="14" t="n"/>
      <c r="I297" s="21" t="n"/>
      <c r="J297" s="21" t="n"/>
      <c r="M297">
        <f>IF(G297="","",IF(G297&gt;=500,"Platinum",IF(G297&gt;=300,"Gold",IF(G297&gt;=100,"Silver","Bronze"))))</f>
        <v/>
      </c>
      <c r="N297" s="26">
        <f>IF(J297="","",TODAY()-J297)</f>
        <v/>
      </c>
    </row>
    <row r="298">
      <c r="G298" s="14" t="n"/>
      <c r="H298" s="14" t="n"/>
      <c r="I298" s="21" t="n"/>
      <c r="J298" s="21" t="n"/>
      <c r="M298">
        <f>IF(G298="","",IF(G298&gt;=500,"Platinum",IF(G298&gt;=300,"Gold",IF(G298&gt;=100,"Silver","Bronze"))))</f>
        <v/>
      </c>
      <c r="N298" s="26">
        <f>IF(J298="","",TODAY()-J298)</f>
        <v/>
      </c>
    </row>
    <row r="299">
      <c r="G299" s="14" t="n"/>
      <c r="H299" s="14" t="n"/>
      <c r="I299" s="21" t="n"/>
      <c r="J299" s="21" t="n"/>
      <c r="M299">
        <f>IF(G299="","",IF(G299&gt;=500,"Platinum",IF(G299&gt;=300,"Gold",IF(G299&gt;=100,"Silver","Bronze"))))</f>
        <v/>
      </c>
      <c r="N299" s="26">
        <f>IF(J299="","",TODAY()-J299)</f>
        <v/>
      </c>
    </row>
    <row r="300">
      <c r="G300" s="14" t="n"/>
      <c r="H300" s="14" t="n"/>
      <c r="I300" s="21" t="n"/>
      <c r="J300" s="21" t="n"/>
      <c r="M300">
        <f>IF(G300="","",IF(G300&gt;=500,"Platinum",IF(G300&gt;=300,"Gold",IF(G300&gt;=100,"Silver","Bronze"))))</f>
        <v/>
      </c>
      <c r="N300" s="26">
        <f>IF(J300="","",TODAY()-J300)</f>
        <v/>
      </c>
    </row>
    <row r="301">
      <c r="G301" s="14" t="n"/>
      <c r="H301" s="14" t="n"/>
      <c r="I301" s="21" t="n"/>
      <c r="J301" s="21" t="n"/>
      <c r="M301">
        <f>IF(G301="","",IF(G301&gt;=500,"Platinum",IF(G301&gt;=300,"Gold",IF(G301&gt;=100,"Silver","Bronze"))))</f>
        <v/>
      </c>
      <c r="N301" s="26">
        <f>IF(J301="","",TODAY()-J301)</f>
        <v/>
      </c>
    </row>
    <row r="302">
      <c r="G302" s="14" t="n"/>
      <c r="H302" s="14" t="n"/>
      <c r="I302" s="21" t="n"/>
      <c r="J302" s="21" t="n"/>
      <c r="M302">
        <f>IF(G302="","",IF(G302&gt;=500,"Platinum",IF(G302&gt;=300,"Gold",IF(G302&gt;=100,"Silver","Bronze"))))</f>
        <v/>
      </c>
      <c r="N302" s="26">
        <f>IF(J302="","",TODAY()-J302)</f>
        <v/>
      </c>
    </row>
    <row r="303">
      <c r="G303" s="14" t="n"/>
      <c r="H303" s="14" t="n"/>
      <c r="I303" s="21" t="n"/>
      <c r="J303" s="21" t="n"/>
      <c r="M303">
        <f>IF(G303="","",IF(G303&gt;=500,"Platinum",IF(G303&gt;=300,"Gold",IF(G303&gt;=100,"Silver","Bronze"))))</f>
        <v/>
      </c>
      <c r="N303" s="26">
        <f>IF(J303="","",TODAY()-J303)</f>
        <v/>
      </c>
    </row>
    <row r="304">
      <c r="G304" s="14" t="n"/>
      <c r="H304" s="14" t="n"/>
      <c r="I304" s="21" t="n"/>
      <c r="J304" s="21" t="n"/>
      <c r="M304">
        <f>IF(G304="","",IF(G304&gt;=500,"Platinum",IF(G304&gt;=300,"Gold",IF(G304&gt;=100,"Silver","Bronze"))))</f>
        <v/>
      </c>
      <c r="N304" s="26">
        <f>IF(J304="","",TODAY()-J304)</f>
        <v/>
      </c>
    </row>
    <row r="305">
      <c r="G305" s="14" t="n"/>
      <c r="H305" s="14" t="n"/>
      <c r="I305" s="21" t="n"/>
      <c r="J305" s="21" t="n"/>
      <c r="M305">
        <f>IF(G305="","",IF(G305&gt;=500,"Platinum",IF(G305&gt;=300,"Gold",IF(G305&gt;=100,"Silver","Bronze"))))</f>
        <v/>
      </c>
      <c r="N305" s="26">
        <f>IF(J305="","",TODAY()-J305)</f>
        <v/>
      </c>
    </row>
    <row r="306">
      <c r="G306" s="14" t="n"/>
      <c r="H306" s="14" t="n"/>
      <c r="I306" s="21" t="n"/>
      <c r="J306" s="21" t="n"/>
      <c r="M306">
        <f>IF(G306="","",IF(G306&gt;=500,"Platinum",IF(G306&gt;=300,"Gold",IF(G306&gt;=100,"Silver","Bronze"))))</f>
        <v/>
      </c>
      <c r="N306" s="26">
        <f>IF(J306="","",TODAY()-J306)</f>
        <v/>
      </c>
    </row>
    <row r="307">
      <c r="G307" s="14" t="n"/>
      <c r="H307" s="14" t="n"/>
      <c r="I307" s="21" t="n"/>
      <c r="J307" s="21" t="n"/>
      <c r="M307">
        <f>IF(G307="","",IF(G307&gt;=500,"Platinum",IF(G307&gt;=300,"Gold",IF(G307&gt;=100,"Silver","Bronze"))))</f>
        <v/>
      </c>
      <c r="N307" s="26">
        <f>IF(J307="","",TODAY()-J307)</f>
        <v/>
      </c>
    </row>
    <row r="308">
      <c r="G308" s="14" t="n"/>
      <c r="H308" s="14" t="n"/>
      <c r="I308" s="21" t="n"/>
      <c r="J308" s="21" t="n"/>
      <c r="M308">
        <f>IF(G308="","",IF(G308&gt;=500,"Platinum",IF(G308&gt;=300,"Gold",IF(G308&gt;=100,"Silver","Bronze"))))</f>
        <v/>
      </c>
      <c r="N308" s="26">
        <f>IF(J308="","",TODAY()-J308)</f>
        <v/>
      </c>
    </row>
    <row r="309">
      <c r="G309" s="14" t="n"/>
      <c r="H309" s="14" t="n"/>
      <c r="I309" s="21" t="n"/>
      <c r="J309" s="21" t="n"/>
      <c r="M309">
        <f>IF(G309="","",IF(G309&gt;=500,"Platinum",IF(G309&gt;=300,"Gold",IF(G309&gt;=100,"Silver","Bronze"))))</f>
        <v/>
      </c>
      <c r="N309" s="26">
        <f>IF(J309="","",TODAY()-J309)</f>
        <v/>
      </c>
    </row>
    <row r="310">
      <c r="G310" s="14" t="n"/>
      <c r="H310" s="14" t="n"/>
      <c r="I310" s="21" t="n"/>
      <c r="J310" s="21" t="n"/>
      <c r="M310">
        <f>IF(G310="","",IF(G310&gt;=500,"Platinum",IF(G310&gt;=300,"Gold",IF(G310&gt;=100,"Silver","Bronze"))))</f>
        <v/>
      </c>
      <c r="N310" s="26">
        <f>IF(J310="","",TODAY()-J310)</f>
        <v/>
      </c>
    </row>
    <row r="311">
      <c r="G311" s="14" t="n"/>
      <c r="H311" s="14" t="n"/>
      <c r="I311" s="21" t="n"/>
      <c r="J311" s="21" t="n"/>
      <c r="M311">
        <f>IF(G311="","",IF(G311&gt;=500,"Platinum",IF(G311&gt;=300,"Gold",IF(G311&gt;=100,"Silver","Bronze"))))</f>
        <v/>
      </c>
      <c r="N311" s="26">
        <f>IF(J311="","",TODAY()-J311)</f>
        <v/>
      </c>
    </row>
    <row r="312">
      <c r="G312" s="14" t="n"/>
      <c r="H312" s="14" t="n"/>
      <c r="I312" s="21" t="n"/>
      <c r="J312" s="21" t="n"/>
      <c r="M312">
        <f>IF(G312="","",IF(G312&gt;=500,"Platinum",IF(G312&gt;=300,"Gold",IF(G312&gt;=100,"Silver","Bronze"))))</f>
        <v/>
      </c>
      <c r="N312" s="26">
        <f>IF(J312="","",TODAY()-J312)</f>
        <v/>
      </c>
    </row>
    <row r="313">
      <c r="G313" s="14" t="n"/>
      <c r="H313" s="14" t="n"/>
      <c r="I313" s="21" t="n"/>
      <c r="J313" s="21" t="n"/>
      <c r="M313">
        <f>IF(G313="","",IF(G313&gt;=500,"Platinum",IF(G313&gt;=300,"Gold",IF(G313&gt;=100,"Silver","Bronze"))))</f>
        <v/>
      </c>
      <c r="N313" s="26">
        <f>IF(J313="","",TODAY()-J313)</f>
        <v/>
      </c>
    </row>
    <row r="314">
      <c r="G314" s="14" t="n"/>
      <c r="H314" s="14" t="n"/>
      <c r="I314" s="21" t="n"/>
      <c r="J314" s="21" t="n"/>
      <c r="M314">
        <f>IF(G314="","",IF(G314&gt;=500,"Platinum",IF(G314&gt;=300,"Gold",IF(G314&gt;=100,"Silver","Bronze"))))</f>
        <v/>
      </c>
      <c r="N314" s="26">
        <f>IF(J314="","",TODAY()-J314)</f>
        <v/>
      </c>
    </row>
    <row r="315">
      <c r="G315" s="14" t="n"/>
      <c r="H315" s="14" t="n"/>
      <c r="I315" s="21" t="n"/>
      <c r="J315" s="21" t="n"/>
      <c r="M315">
        <f>IF(G315="","",IF(G315&gt;=500,"Platinum",IF(G315&gt;=300,"Gold",IF(G315&gt;=100,"Silver","Bronze"))))</f>
        <v/>
      </c>
      <c r="N315" s="26">
        <f>IF(J315="","",TODAY()-J315)</f>
        <v/>
      </c>
    </row>
    <row r="316">
      <c r="G316" s="14" t="n"/>
      <c r="H316" s="14" t="n"/>
      <c r="I316" s="21" t="n"/>
      <c r="J316" s="21" t="n"/>
      <c r="M316">
        <f>IF(G316="","",IF(G316&gt;=500,"Platinum",IF(G316&gt;=300,"Gold",IF(G316&gt;=100,"Silver","Bronze"))))</f>
        <v/>
      </c>
      <c r="N316" s="26">
        <f>IF(J316="","",TODAY()-J316)</f>
        <v/>
      </c>
    </row>
    <row r="317">
      <c r="G317" s="14" t="n"/>
      <c r="H317" s="14" t="n"/>
      <c r="I317" s="21" t="n"/>
      <c r="J317" s="21" t="n"/>
      <c r="M317">
        <f>IF(G317="","",IF(G317&gt;=500,"Platinum",IF(G317&gt;=300,"Gold",IF(G317&gt;=100,"Silver","Bronze"))))</f>
        <v/>
      </c>
      <c r="N317" s="26">
        <f>IF(J317="","",TODAY()-J317)</f>
        <v/>
      </c>
    </row>
    <row r="318">
      <c r="G318" s="14" t="n"/>
      <c r="H318" s="14" t="n"/>
      <c r="I318" s="21" t="n"/>
      <c r="J318" s="21" t="n"/>
      <c r="M318">
        <f>IF(G318="","",IF(G318&gt;=500,"Platinum",IF(G318&gt;=300,"Gold",IF(G318&gt;=100,"Silver","Bronze"))))</f>
        <v/>
      </c>
      <c r="N318" s="26">
        <f>IF(J318="","",TODAY()-J318)</f>
        <v/>
      </c>
    </row>
    <row r="319">
      <c r="G319" s="14" t="n"/>
      <c r="H319" s="14" t="n"/>
      <c r="I319" s="21" t="n"/>
      <c r="J319" s="21" t="n"/>
      <c r="M319">
        <f>IF(G319="","",IF(G319&gt;=500,"Platinum",IF(G319&gt;=300,"Gold",IF(G319&gt;=100,"Silver","Bronze"))))</f>
        <v/>
      </c>
      <c r="N319" s="26">
        <f>IF(J319="","",TODAY()-J319)</f>
        <v/>
      </c>
    </row>
    <row r="320">
      <c r="G320" s="14" t="n"/>
      <c r="H320" s="14" t="n"/>
      <c r="I320" s="21" t="n"/>
      <c r="J320" s="21" t="n"/>
      <c r="M320">
        <f>IF(G320="","",IF(G320&gt;=500,"Platinum",IF(G320&gt;=300,"Gold",IF(G320&gt;=100,"Silver","Bronze"))))</f>
        <v/>
      </c>
      <c r="N320" s="26">
        <f>IF(J320="","",TODAY()-J320)</f>
        <v/>
      </c>
    </row>
    <row r="321">
      <c r="G321" s="14" t="n"/>
      <c r="H321" s="14" t="n"/>
      <c r="I321" s="21" t="n"/>
      <c r="J321" s="21" t="n"/>
      <c r="M321">
        <f>IF(G321="","",IF(G321&gt;=500,"Platinum",IF(G321&gt;=300,"Gold",IF(G321&gt;=100,"Silver","Bronze"))))</f>
        <v/>
      </c>
      <c r="N321" s="26">
        <f>IF(J321="","",TODAY()-J321)</f>
        <v/>
      </c>
    </row>
    <row r="322">
      <c r="G322" s="14" t="n"/>
      <c r="H322" s="14" t="n"/>
      <c r="I322" s="21" t="n"/>
      <c r="J322" s="21" t="n"/>
      <c r="M322">
        <f>IF(G322="","",IF(G322&gt;=500,"Platinum",IF(G322&gt;=300,"Gold",IF(G322&gt;=100,"Silver","Bronze"))))</f>
        <v/>
      </c>
      <c r="N322" s="26">
        <f>IF(J322="","",TODAY()-J322)</f>
        <v/>
      </c>
    </row>
    <row r="323">
      <c r="G323" s="14" t="n"/>
      <c r="H323" s="14" t="n"/>
      <c r="I323" s="21" t="n"/>
      <c r="J323" s="21" t="n"/>
      <c r="M323">
        <f>IF(G323="","",IF(G323&gt;=500,"Platinum",IF(G323&gt;=300,"Gold",IF(G323&gt;=100,"Silver","Bronze"))))</f>
        <v/>
      </c>
      <c r="N323" s="26">
        <f>IF(J323="","",TODAY()-J323)</f>
        <v/>
      </c>
    </row>
    <row r="324">
      <c r="G324" s="14" t="n"/>
      <c r="H324" s="14" t="n"/>
      <c r="I324" s="21" t="n"/>
      <c r="J324" s="21" t="n"/>
      <c r="M324">
        <f>IF(G324="","",IF(G324&gt;=500,"Platinum",IF(G324&gt;=300,"Gold",IF(G324&gt;=100,"Silver","Bronze"))))</f>
        <v/>
      </c>
      <c r="N324" s="26">
        <f>IF(J324="","",TODAY()-J324)</f>
        <v/>
      </c>
    </row>
    <row r="325">
      <c r="G325" s="14" t="n"/>
      <c r="H325" s="14" t="n"/>
      <c r="I325" s="21" t="n"/>
      <c r="J325" s="21" t="n"/>
      <c r="M325">
        <f>IF(G325="","",IF(G325&gt;=500,"Platinum",IF(G325&gt;=300,"Gold",IF(G325&gt;=100,"Silver","Bronze"))))</f>
        <v/>
      </c>
      <c r="N325" s="26">
        <f>IF(J325="","",TODAY()-J325)</f>
        <v/>
      </c>
    </row>
    <row r="326">
      <c r="G326" s="14" t="n"/>
      <c r="H326" s="14" t="n"/>
      <c r="I326" s="21" t="n"/>
      <c r="J326" s="21" t="n"/>
      <c r="M326">
        <f>IF(G326="","",IF(G326&gt;=500,"Platinum",IF(G326&gt;=300,"Gold",IF(G326&gt;=100,"Silver","Bronze"))))</f>
        <v/>
      </c>
      <c r="N326" s="26">
        <f>IF(J326="","",TODAY()-J326)</f>
        <v/>
      </c>
    </row>
    <row r="327">
      <c r="G327" s="14" t="n"/>
      <c r="H327" s="14" t="n"/>
      <c r="I327" s="21" t="n"/>
      <c r="J327" s="21" t="n"/>
      <c r="M327">
        <f>IF(G327="","",IF(G327&gt;=500,"Platinum",IF(G327&gt;=300,"Gold",IF(G327&gt;=100,"Silver","Bronze"))))</f>
        <v/>
      </c>
      <c r="N327" s="26">
        <f>IF(J327="","",TODAY()-J327)</f>
        <v/>
      </c>
    </row>
    <row r="328">
      <c r="G328" s="14" t="n"/>
      <c r="H328" s="14" t="n"/>
      <c r="I328" s="21" t="n"/>
      <c r="J328" s="21" t="n"/>
      <c r="M328">
        <f>IF(G328="","",IF(G328&gt;=500,"Platinum",IF(G328&gt;=300,"Gold",IF(G328&gt;=100,"Silver","Bronze"))))</f>
        <v/>
      </c>
      <c r="N328" s="26">
        <f>IF(J328="","",TODAY()-J328)</f>
        <v/>
      </c>
    </row>
    <row r="329">
      <c r="G329" s="14" t="n"/>
      <c r="H329" s="14" t="n"/>
      <c r="I329" s="21" t="n"/>
      <c r="J329" s="21" t="n"/>
      <c r="M329">
        <f>IF(G329="","",IF(G329&gt;=500,"Platinum",IF(G329&gt;=300,"Gold",IF(G329&gt;=100,"Silver","Bronze"))))</f>
        <v/>
      </c>
      <c r="N329" s="26">
        <f>IF(J329="","",TODAY()-J329)</f>
        <v/>
      </c>
    </row>
    <row r="330">
      <c r="G330" s="14" t="n"/>
      <c r="H330" s="14" t="n"/>
      <c r="I330" s="21" t="n"/>
      <c r="J330" s="21" t="n"/>
      <c r="M330">
        <f>IF(G330="","",IF(G330&gt;=500,"Platinum",IF(G330&gt;=300,"Gold",IF(G330&gt;=100,"Silver","Bronze"))))</f>
        <v/>
      </c>
      <c r="N330" s="26">
        <f>IF(J330="","",TODAY()-J330)</f>
        <v/>
      </c>
    </row>
    <row r="331">
      <c r="G331" s="14" t="n"/>
      <c r="H331" s="14" t="n"/>
      <c r="I331" s="21" t="n"/>
      <c r="J331" s="21" t="n"/>
      <c r="M331">
        <f>IF(G331="","",IF(G331&gt;=500,"Platinum",IF(G331&gt;=300,"Gold",IF(G331&gt;=100,"Silver","Bronze"))))</f>
        <v/>
      </c>
      <c r="N331" s="26">
        <f>IF(J331="","",TODAY()-J331)</f>
        <v/>
      </c>
    </row>
    <row r="332">
      <c r="G332" s="14" t="n"/>
      <c r="H332" s="14" t="n"/>
      <c r="I332" s="21" t="n"/>
      <c r="J332" s="21" t="n"/>
      <c r="M332">
        <f>IF(G332="","",IF(G332&gt;=500,"Platinum",IF(G332&gt;=300,"Gold",IF(G332&gt;=100,"Silver","Bronze"))))</f>
        <v/>
      </c>
      <c r="N332" s="26">
        <f>IF(J332="","",TODAY()-J332)</f>
        <v/>
      </c>
    </row>
    <row r="333">
      <c r="G333" s="14" t="n"/>
      <c r="H333" s="14" t="n"/>
      <c r="I333" s="21" t="n"/>
      <c r="J333" s="21" t="n"/>
      <c r="M333">
        <f>IF(G333="","",IF(G333&gt;=500,"Platinum",IF(G333&gt;=300,"Gold",IF(G333&gt;=100,"Silver","Bronze"))))</f>
        <v/>
      </c>
      <c r="N333" s="26">
        <f>IF(J333="","",TODAY()-J333)</f>
        <v/>
      </c>
    </row>
    <row r="334">
      <c r="G334" s="14" t="n"/>
      <c r="H334" s="14" t="n"/>
      <c r="I334" s="21" t="n"/>
      <c r="J334" s="21" t="n"/>
      <c r="M334">
        <f>IF(G334="","",IF(G334&gt;=500,"Platinum",IF(G334&gt;=300,"Gold",IF(G334&gt;=100,"Silver","Bronze"))))</f>
        <v/>
      </c>
      <c r="N334" s="26">
        <f>IF(J334="","",TODAY()-J334)</f>
        <v/>
      </c>
    </row>
    <row r="335">
      <c r="G335" s="14" t="n"/>
      <c r="H335" s="14" t="n"/>
      <c r="I335" s="21" t="n"/>
      <c r="J335" s="21" t="n"/>
      <c r="M335">
        <f>IF(G335="","",IF(G335&gt;=500,"Platinum",IF(G335&gt;=300,"Gold",IF(G335&gt;=100,"Silver","Bronze"))))</f>
        <v/>
      </c>
      <c r="N335" s="26">
        <f>IF(J335="","",TODAY()-J335)</f>
        <v/>
      </c>
    </row>
    <row r="336">
      <c r="G336" s="14" t="n"/>
      <c r="H336" s="14" t="n"/>
      <c r="I336" s="21" t="n"/>
      <c r="J336" s="21" t="n"/>
      <c r="M336">
        <f>IF(G336="","",IF(G336&gt;=500,"Platinum",IF(G336&gt;=300,"Gold",IF(G336&gt;=100,"Silver","Bronze"))))</f>
        <v/>
      </c>
      <c r="N336" s="26">
        <f>IF(J336="","",TODAY()-J336)</f>
        <v/>
      </c>
    </row>
    <row r="337">
      <c r="G337" s="14" t="n"/>
      <c r="H337" s="14" t="n"/>
      <c r="I337" s="21" t="n"/>
      <c r="J337" s="21" t="n"/>
      <c r="M337">
        <f>IF(G337="","",IF(G337&gt;=500,"Platinum",IF(G337&gt;=300,"Gold",IF(G337&gt;=100,"Silver","Bronze"))))</f>
        <v/>
      </c>
      <c r="N337" s="26">
        <f>IF(J337="","",TODAY()-J337)</f>
        <v/>
      </c>
    </row>
    <row r="338">
      <c r="G338" s="14" t="n"/>
      <c r="H338" s="14" t="n"/>
      <c r="I338" s="21" t="n"/>
      <c r="J338" s="21" t="n"/>
      <c r="M338">
        <f>IF(G338="","",IF(G338&gt;=500,"Platinum",IF(G338&gt;=300,"Gold",IF(G338&gt;=100,"Silver","Bronze"))))</f>
        <v/>
      </c>
      <c r="N338" s="26">
        <f>IF(J338="","",TODAY()-J338)</f>
        <v/>
      </c>
    </row>
    <row r="339">
      <c r="G339" s="14" t="n"/>
      <c r="H339" s="14" t="n"/>
      <c r="I339" s="21" t="n"/>
      <c r="J339" s="21" t="n"/>
      <c r="M339">
        <f>IF(G339="","",IF(G339&gt;=500,"Platinum",IF(G339&gt;=300,"Gold",IF(G339&gt;=100,"Silver","Bronze"))))</f>
        <v/>
      </c>
      <c r="N339" s="26">
        <f>IF(J339="","",TODAY()-J339)</f>
        <v/>
      </c>
    </row>
    <row r="340">
      <c r="G340" s="14" t="n"/>
      <c r="H340" s="14" t="n"/>
      <c r="I340" s="21" t="n"/>
      <c r="J340" s="21" t="n"/>
      <c r="M340">
        <f>IF(G340="","",IF(G340&gt;=500,"Platinum",IF(G340&gt;=300,"Gold",IF(G340&gt;=100,"Silver","Bronze"))))</f>
        <v/>
      </c>
      <c r="N340" s="26">
        <f>IF(J340="","",TODAY()-J340)</f>
        <v/>
      </c>
    </row>
    <row r="341">
      <c r="G341" s="14" t="n"/>
      <c r="H341" s="14" t="n"/>
      <c r="I341" s="21" t="n"/>
      <c r="J341" s="21" t="n"/>
      <c r="M341">
        <f>IF(G341="","",IF(G341&gt;=500,"Platinum",IF(G341&gt;=300,"Gold",IF(G341&gt;=100,"Silver","Bronze"))))</f>
        <v/>
      </c>
      <c r="N341" s="26">
        <f>IF(J341="","",TODAY()-J341)</f>
        <v/>
      </c>
    </row>
    <row r="342">
      <c r="G342" s="14" t="n"/>
      <c r="H342" s="14" t="n"/>
      <c r="I342" s="21" t="n"/>
      <c r="J342" s="21" t="n"/>
      <c r="M342">
        <f>IF(G342="","",IF(G342&gt;=500,"Platinum",IF(G342&gt;=300,"Gold",IF(G342&gt;=100,"Silver","Bronze"))))</f>
        <v/>
      </c>
      <c r="N342" s="26">
        <f>IF(J342="","",TODAY()-J342)</f>
        <v/>
      </c>
    </row>
    <row r="343">
      <c r="G343" s="14" t="n"/>
      <c r="H343" s="14" t="n"/>
      <c r="I343" s="21" t="n"/>
      <c r="J343" s="21" t="n"/>
      <c r="M343">
        <f>IF(G343="","",IF(G343&gt;=500,"Platinum",IF(G343&gt;=300,"Gold",IF(G343&gt;=100,"Silver","Bronze"))))</f>
        <v/>
      </c>
      <c r="N343" s="26">
        <f>IF(J343="","",TODAY()-J343)</f>
        <v/>
      </c>
    </row>
    <row r="344">
      <c r="G344" s="14" t="n"/>
      <c r="H344" s="14" t="n"/>
      <c r="I344" s="21" t="n"/>
      <c r="J344" s="21" t="n"/>
      <c r="M344">
        <f>IF(G344="","",IF(G344&gt;=500,"Platinum",IF(G344&gt;=300,"Gold",IF(G344&gt;=100,"Silver","Bronze"))))</f>
        <v/>
      </c>
      <c r="N344" s="26">
        <f>IF(J344="","",TODAY()-J344)</f>
        <v/>
      </c>
    </row>
    <row r="345">
      <c r="G345" s="14" t="n"/>
      <c r="H345" s="14" t="n"/>
      <c r="I345" s="21" t="n"/>
      <c r="J345" s="21" t="n"/>
      <c r="M345">
        <f>IF(G345="","",IF(G345&gt;=500,"Platinum",IF(G345&gt;=300,"Gold",IF(G345&gt;=100,"Silver","Bronze"))))</f>
        <v/>
      </c>
      <c r="N345" s="26">
        <f>IF(J345="","",TODAY()-J345)</f>
        <v/>
      </c>
    </row>
    <row r="346">
      <c r="G346" s="14" t="n"/>
      <c r="H346" s="14" t="n"/>
      <c r="I346" s="21" t="n"/>
      <c r="J346" s="21" t="n"/>
      <c r="M346">
        <f>IF(G346="","",IF(G346&gt;=500,"Platinum",IF(G346&gt;=300,"Gold",IF(G346&gt;=100,"Silver","Bronze"))))</f>
        <v/>
      </c>
      <c r="N346" s="26">
        <f>IF(J346="","",TODAY()-J346)</f>
        <v/>
      </c>
    </row>
    <row r="347">
      <c r="G347" s="14" t="n"/>
      <c r="H347" s="14" t="n"/>
      <c r="I347" s="21" t="n"/>
      <c r="J347" s="21" t="n"/>
      <c r="M347">
        <f>IF(G347="","",IF(G347&gt;=500,"Platinum",IF(G347&gt;=300,"Gold",IF(G347&gt;=100,"Silver","Bronze"))))</f>
        <v/>
      </c>
      <c r="N347" s="26">
        <f>IF(J347="","",TODAY()-J347)</f>
        <v/>
      </c>
    </row>
    <row r="348">
      <c r="G348" s="14" t="n"/>
      <c r="H348" s="14" t="n"/>
      <c r="I348" s="21" t="n"/>
      <c r="J348" s="21" t="n"/>
      <c r="M348">
        <f>IF(G348="","",IF(G348&gt;=500,"Platinum",IF(G348&gt;=300,"Gold",IF(G348&gt;=100,"Silver","Bronze"))))</f>
        <v/>
      </c>
      <c r="N348" s="26">
        <f>IF(J348="","",TODAY()-J348)</f>
        <v/>
      </c>
    </row>
    <row r="349">
      <c r="G349" s="14" t="n"/>
      <c r="H349" s="14" t="n"/>
      <c r="I349" s="21" t="n"/>
      <c r="J349" s="21" t="n"/>
      <c r="M349">
        <f>IF(G349="","",IF(G349&gt;=500,"Platinum",IF(G349&gt;=300,"Gold",IF(G349&gt;=100,"Silver","Bronze"))))</f>
        <v/>
      </c>
      <c r="N349" s="26">
        <f>IF(J349="","",TODAY()-J349)</f>
        <v/>
      </c>
    </row>
    <row r="350">
      <c r="G350" s="14" t="n"/>
      <c r="H350" s="14" t="n"/>
      <c r="I350" s="21" t="n"/>
      <c r="J350" s="21" t="n"/>
      <c r="M350">
        <f>IF(G350="","",IF(G350&gt;=500,"Platinum",IF(G350&gt;=300,"Gold",IF(G350&gt;=100,"Silver","Bronze"))))</f>
        <v/>
      </c>
      <c r="N350" s="26">
        <f>IF(J350="","",TODAY()-J350)</f>
        <v/>
      </c>
    </row>
    <row r="351">
      <c r="G351" s="14" t="n"/>
      <c r="H351" s="14" t="n"/>
      <c r="I351" s="21" t="n"/>
      <c r="J351" s="21" t="n"/>
      <c r="M351">
        <f>IF(G351="","",IF(G351&gt;=500,"Platinum",IF(G351&gt;=300,"Gold",IF(G351&gt;=100,"Silver","Bronze"))))</f>
        <v/>
      </c>
      <c r="N351" s="26">
        <f>IF(J351="","",TODAY()-J351)</f>
        <v/>
      </c>
    </row>
    <row r="352">
      <c r="G352" s="14" t="n"/>
      <c r="H352" s="14" t="n"/>
      <c r="I352" s="21" t="n"/>
      <c r="J352" s="21" t="n"/>
      <c r="M352">
        <f>IF(G352="","",IF(G352&gt;=500,"Platinum",IF(G352&gt;=300,"Gold",IF(G352&gt;=100,"Silver","Bronze"))))</f>
        <v/>
      </c>
      <c r="N352" s="26">
        <f>IF(J352="","",TODAY()-J352)</f>
        <v/>
      </c>
    </row>
    <row r="353">
      <c r="G353" s="14" t="n"/>
      <c r="H353" s="14" t="n"/>
      <c r="I353" s="21" t="n"/>
      <c r="J353" s="21" t="n"/>
      <c r="M353">
        <f>IF(G353="","",IF(G353&gt;=500,"Platinum",IF(G353&gt;=300,"Gold",IF(G353&gt;=100,"Silver","Bronze"))))</f>
        <v/>
      </c>
      <c r="N353" s="26">
        <f>IF(J353="","",TODAY()-J353)</f>
        <v/>
      </c>
    </row>
    <row r="354">
      <c r="G354" s="14" t="n"/>
      <c r="H354" s="14" t="n"/>
      <c r="I354" s="21" t="n"/>
      <c r="J354" s="21" t="n"/>
      <c r="M354">
        <f>IF(G354="","",IF(G354&gt;=500,"Platinum",IF(G354&gt;=300,"Gold",IF(G354&gt;=100,"Silver","Bronze"))))</f>
        <v/>
      </c>
      <c r="N354" s="26">
        <f>IF(J354="","",TODAY()-J354)</f>
        <v/>
      </c>
    </row>
    <row r="355">
      <c r="G355" s="14" t="n"/>
      <c r="H355" s="14" t="n"/>
      <c r="I355" s="21" t="n"/>
      <c r="J355" s="21" t="n"/>
      <c r="M355">
        <f>IF(G355="","",IF(G355&gt;=500,"Platinum",IF(G355&gt;=300,"Gold",IF(G355&gt;=100,"Silver","Bronze"))))</f>
        <v/>
      </c>
      <c r="N355" s="26">
        <f>IF(J355="","",TODAY()-J355)</f>
        <v/>
      </c>
    </row>
    <row r="356">
      <c r="G356" s="14" t="n"/>
      <c r="H356" s="14" t="n"/>
      <c r="I356" s="21" t="n"/>
      <c r="J356" s="21" t="n"/>
      <c r="M356">
        <f>IF(G356="","",IF(G356&gt;=500,"Platinum",IF(G356&gt;=300,"Gold",IF(G356&gt;=100,"Silver","Bronze"))))</f>
        <v/>
      </c>
      <c r="N356" s="26">
        <f>IF(J356="","",TODAY()-J356)</f>
        <v/>
      </c>
    </row>
    <row r="357">
      <c r="G357" s="14" t="n"/>
      <c r="H357" s="14" t="n"/>
      <c r="I357" s="21" t="n"/>
      <c r="J357" s="21" t="n"/>
      <c r="M357">
        <f>IF(G357="","",IF(G357&gt;=500,"Platinum",IF(G357&gt;=300,"Gold",IF(G357&gt;=100,"Silver","Bronze"))))</f>
        <v/>
      </c>
      <c r="N357" s="26">
        <f>IF(J357="","",TODAY()-J357)</f>
        <v/>
      </c>
    </row>
    <row r="358">
      <c r="G358" s="14" t="n"/>
      <c r="H358" s="14" t="n"/>
      <c r="I358" s="21" t="n"/>
      <c r="J358" s="21" t="n"/>
      <c r="M358">
        <f>IF(G358="","",IF(G358&gt;=500,"Platinum",IF(G358&gt;=300,"Gold",IF(G358&gt;=100,"Silver","Bronze"))))</f>
        <v/>
      </c>
      <c r="N358" s="26">
        <f>IF(J358="","",TODAY()-J358)</f>
        <v/>
      </c>
    </row>
    <row r="359">
      <c r="G359" s="14" t="n"/>
      <c r="H359" s="14" t="n"/>
      <c r="I359" s="21" t="n"/>
      <c r="J359" s="21" t="n"/>
      <c r="M359">
        <f>IF(G359="","",IF(G359&gt;=500,"Platinum",IF(G359&gt;=300,"Gold",IF(G359&gt;=100,"Silver","Bronze"))))</f>
        <v/>
      </c>
      <c r="N359" s="26">
        <f>IF(J359="","",TODAY()-J359)</f>
        <v/>
      </c>
    </row>
    <row r="360">
      <c r="G360" s="14" t="n"/>
      <c r="H360" s="14" t="n"/>
      <c r="I360" s="21" t="n"/>
      <c r="J360" s="21" t="n"/>
      <c r="M360">
        <f>IF(G360="","",IF(G360&gt;=500,"Platinum",IF(G360&gt;=300,"Gold",IF(G360&gt;=100,"Silver","Bronze"))))</f>
        <v/>
      </c>
      <c r="N360" s="26">
        <f>IF(J360="","",TODAY()-J360)</f>
        <v/>
      </c>
    </row>
    <row r="361">
      <c r="G361" s="14" t="n"/>
      <c r="H361" s="14" t="n"/>
      <c r="I361" s="21" t="n"/>
      <c r="J361" s="21" t="n"/>
      <c r="M361">
        <f>IF(G361="","",IF(G361&gt;=500,"Platinum",IF(G361&gt;=300,"Gold",IF(G361&gt;=100,"Silver","Bronze"))))</f>
        <v/>
      </c>
      <c r="N361" s="26">
        <f>IF(J361="","",TODAY()-J361)</f>
        <v/>
      </c>
    </row>
    <row r="362">
      <c r="G362" s="14" t="n"/>
      <c r="H362" s="14" t="n"/>
      <c r="I362" s="21" t="n"/>
      <c r="J362" s="21" t="n"/>
      <c r="M362">
        <f>IF(G362="","",IF(G362&gt;=500,"Platinum",IF(G362&gt;=300,"Gold",IF(G362&gt;=100,"Silver","Bronze"))))</f>
        <v/>
      </c>
      <c r="N362" s="26">
        <f>IF(J362="","",TODAY()-J362)</f>
        <v/>
      </c>
    </row>
    <row r="363">
      <c r="G363" s="14" t="n"/>
      <c r="H363" s="14" t="n"/>
      <c r="I363" s="21" t="n"/>
      <c r="J363" s="21" t="n"/>
      <c r="M363">
        <f>IF(G363="","",IF(G363&gt;=500,"Platinum",IF(G363&gt;=300,"Gold",IF(G363&gt;=100,"Silver","Bronze"))))</f>
        <v/>
      </c>
      <c r="N363" s="26">
        <f>IF(J363="","",TODAY()-J363)</f>
        <v/>
      </c>
    </row>
    <row r="364">
      <c r="G364" s="14" t="n"/>
      <c r="H364" s="14" t="n"/>
      <c r="I364" s="21" t="n"/>
      <c r="J364" s="21" t="n"/>
      <c r="M364">
        <f>IF(G364="","",IF(G364&gt;=500,"Platinum",IF(G364&gt;=300,"Gold",IF(G364&gt;=100,"Silver","Bronze"))))</f>
        <v/>
      </c>
      <c r="N364" s="26">
        <f>IF(J364="","",TODAY()-J364)</f>
        <v/>
      </c>
    </row>
    <row r="365">
      <c r="G365" s="14" t="n"/>
      <c r="H365" s="14" t="n"/>
      <c r="I365" s="21" t="n"/>
      <c r="J365" s="21" t="n"/>
      <c r="M365">
        <f>IF(G365="","",IF(G365&gt;=500,"Platinum",IF(G365&gt;=300,"Gold",IF(G365&gt;=100,"Silver","Bronze"))))</f>
        <v/>
      </c>
      <c r="N365" s="26">
        <f>IF(J365="","",TODAY()-J365)</f>
        <v/>
      </c>
    </row>
    <row r="366">
      <c r="G366" s="14" t="n"/>
      <c r="H366" s="14" t="n"/>
      <c r="I366" s="21" t="n"/>
      <c r="J366" s="21" t="n"/>
      <c r="M366">
        <f>IF(G366="","",IF(G366&gt;=500,"Platinum",IF(G366&gt;=300,"Gold",IF(G366&gt;=100,"Silver","Bronze"))))</f>
        <v/>
      </c>
      <c r="N366" s="26">
        <f>IF(J366="","",TODAY()-J366)</f>
        <v/>
      </c>
    </row>
    <row r="367">
      <c r="G367" s="14" t="n"/>
      <c r="H367" s="14" t="n"/>
      <c r="I367" s="21" t="n"/>
      <c r="J367" s="21" t="n"/>
      <c r="M367">
        <f>IF(G367="","",IF(G367&gt;=500,"Platinum",IF(G367&gt;=300,"Gold",IF(G367&gt;=100,"Silver","Bronze"))))</f>
        <v/>
      </c>
      <c r="N367" s="26">
        <f>IF(J367="","",TODAY()-J367)</f>
        <v/>
      </c>
    </row>
    <row r="368">
      <c r="G368" s="14" t="n"/>
      <c r="H368" s="14" t="n"/>
      <c r="I368" s="21" t="n"/>
      <c r="J368" s="21" t="n"/>
      <c r="M368">
        <f>IF(G368="","",IF(G368&gt;=500,"Platinum",IF(G368&gt;=300,"Gold",IF(G368&gt;=100,"Silver","Bronze"))))</f>
        <v/>
      </c>
      <c r="N368" s="26">
        <f>IF(J368="","",TODAY()-J368)</f>
        <v/>
      </c>
    </row>
    <row r="369">
      <c r="G369" s="14" t="n"/>
      <c r="H369" s="14" t="n"/>
      <c r="I369" s="21" t="n"/>
      <c r="J369" s="21" t="n"/>
      <c r="M369">
        <f>IF(G369="","",IF(G369&gt;=500,"Platinum",IF(G369&gt;=300,"Gold",IF(G369&gt;=100,"Silver","Bronze"))))</f>
        <v/>
      </c>
      <c r="N369" s="26">
        <f>IF(J369="","",TODAY()-J369)</f>
        <v/>
      </c>
    </row>
    <row r="370">
      <c r="G370" s="14" t="n"/>
      <c r="H370" s="14" t="n"/>
      <c r="I370" s="21" t="n"/>
      <c r="J370" s="21" t="n"/>
      <c r="M370">
        <f>IF(G370="","",IF(G370&gt;=500,"Platinum",IF(G370&gt;=300,"Gold",IF(G370&gt;=100,"Silver","Bronze"))))</f>
        <v/>
      </c>
      <c r="N370" s="26">
        <f>IF(J370="","",TODAY()-J370)</f>
        <v/>
      </c>
    </row>
    <row r="371">
      <c r="G371" s="14" t="n"/>
      <c r="H371" s="14" t="n"/>
      <c r="I371" s="21" t="n"/>
      <c r="J371" s="21" t="n"/>
      <c r="M371">
        <f>IF(G371="","",IF(G371&gt;=500,"Platinum",IF(G371&gt;=300,"Gold",IF(G371&gt;=100,"Silver","Bronze"))))</f>
        <v/>
      </c>
      <c r="N371" s="26">
        <f>IF(J371="","",TODAY()-J371)</f>
        <v/>
      </c>
    </row>
    <row r="372">
      <c r="G372" s="14" t="n"/>
      <c r="H372" s="14" t="n"/>
      <c r="I372" s="21" t="n"/>
      <c r="J372" s="21" t="n"/>
      <c r="M372">
        <f>IF(G372="","",IF(G372&gt;=500,"Platinum",IF(G372&gt;=300,"Gold",IF(G372&gt;=100,"Silver","Bronze"))))</f>
        <v/>
      </c>
      <c r="N372" s="26">
        <f>IF(J372="","",TODAY()-J372)</f>
        <v/>
      </c>
    </row>
    <row r="373">
      <c r="G373" s="14" t="n"/>
      <c r="H373" s="14" t="n"/>
      <c r="I373" s="21" t="n"/>
      <c r="J373" s="21" t="n"/>
      <c r="M373">
        <f>IF(G373="","",IF(G373&gt;=500,"Platinum",IF(G373&gt;=300,"Gold",IF(G373&gt;=100,"Silver","Bronze"))))</f>
        <v/>
      </c>
      <c r="N373" s="26">
        <f>IF(J373="","",TODAY()-J373)</f>
        <v/>
      </c>
    </row>
    <row r="374">
      <c r="G374" s="14" t="n"/>
      <c r="H374" s="14" t="n"/>
      <c r="I374" s="21" t="n"/>
      <c r="J374" s="21" t="n"/>
      <c r="M374">
        <f>IF(G374="","",IF(G374&gt;=500,"Platinum",IF(G374&gt;=300,"Gold",IF(G374&gt;=100,"Silver","Bronze"))))</f>
        <v/>
      </c>
      <c r="N374" s="26">
        <f>IF(J374="","",TODAY()-J374)</f>
        <v/>
      </c>
    </row>
    <row r="375">
      <c r="G375" s="14" t="n"/>
      <c r="H375" s="14" t="n"/>
      <c r="I375" s="21" t="n"/>
      <c r="J375" s="21" t="n"/>
      <c r="M375">
        <f>IF(G375="","",IF(G375&gt;=500,"Platinum",IF(G375&gt;=300,"Gold",IF(G375&gt;=100,"Silver","Bronze"))))</f>
        <v/>
      </c>
      <c r="N375" s="26">
        <f>IF(J375="","",TODAY()-J375)</f>
        <v/>
      </c>
    </row>
    <row r="376">
      <c r="G376" s="14" t="n"/>
      <c r="H376" s="14" t="n"/>
      <c r="I376" s="21" t="n"/>
      <c r="J376" s="21" t="n"/>
      <c r="M376">
        <f>IF(G376="","",IF(G376&gt;=500,"Platinum",IF(G376&gt;=300,"Gold",IF(G376&gt;=100,"Silver","Bronze"))))</f>
        <v/>
      </c>
      <c r="N376" s="26">
        <f>IF(J376="","",TODAY()-J376)</f>
        <v/>
      </c>
    </row>
    <row r="377">
      <c r="G377" s="14" t="n"/>
      <c r="H377" s="14" t="n"/>
      <c r="I377" s="21" t="n"/>
      <c r="J377" s="21" t="n"/>
      <c r="M377">
        <f>IF(G377="","",IF(G377&gt;=500,"Platinum",IF(G377&gt;=300,"Gold",IF(G377&gt;=100,"Silver","Bronze"))))</f>
        <v/>
      </c>
      <c r="N377" s="26">
        <f>IF(J377="","",TODAY()-J377)</f>
        <v/>
      </c>
    </row>
    <row r="378">
      <c r="G378" s="14" t="n"/>
      <c r="H378" s="14" t="n"/>
      <c r="I378" s="21" t="n"/>
      <c r="J378" s="21" t="n"/>
      <c r="M378">
        <f>IF(G378="","",IF(G378&gt;=500,"Platinum",IF(G378&gt;=300,"Gold",IF(G378&gt;=100,"Silver","Bronze"))))</f>
        <v/>
      </c>
      <c r="N378" s="26">
        <f>IF(J378="","",TODAY()-J378)</f>
        <v/>
      </c>
    </row>
    <row r="379">
      <c r="G379" s="14" t="n"/>
      <c r="H379" s="14" t="n"/>
      <c r="I379" s="21" t="n"/>
      <c r="J379" s="21" t="n"/>
      <c r="M379">
        <f>IF(G379="","",IF(G379&gt;=500,"Platinum",IF(G379&gt;=300,"Gold",IF(G379&gt;=100,"Silver","Bronze"))))</f>
        <v/>
      </c>
      <c r="N379" s="26">
        <f>IF(J379="","",TODAY()-J379)</f>
        <v/>
      </c>
    </row>
    <row r="380">
      <c r="G380" s="14" t="n"/>
      <c r="H380" s="14" t="n"/>
      <c r="I380" s="21" t="n"/>
      <c r="J380" s="21" t="n"/>
      <c r="M380">
        <f>IF(G380="","",IF(G380&gt;=500,"Platinum",IF(G380&gt;=300,"Gold",IF(G380&gt;=100,"Silver","Bronze"))))</f>
        <v/>
      </c>
      <c r="N380" s="26">
        <f>IF(J380="","",TODAY()-J380)</f>
        <v/>
      </c>
    </row>
    <row r="381">
      <c r="G381" s="14" t="n"/>
      <c r="H381" s="14" t="n"/>
      <c r="I381" s="21" t="n"/>
      <c r="J381" s="21" t="n"/>
      <c r="M381">
        <f>IF(G381="","",IF(G381&gt;=500,"Platinum",IF(G381&gt;=300,"Gold",IF(G381&gt;=100,"Silver","Bronze"))))</f>
        <v/>
      </c>
      <c r="N381" s="26">
        <f>IF(J381="","",TODAY()-J381)</f>
        <v/>
      </c>
    </row>
    <row r="382">
      <c r="G382" s="14" t="n"/>
      <c r="H382" s="14" t="n"/>
      <c r="I382" s="21" t="n"/>
      <c r="J382" s="21" t="n"/>
      <c r="M382">
        <f>IF(G382="","",IF(G382&gt;=500,"Platinum",IF(G382&gt;=300,"Gold",IF(G382&gt;=100,"Silver","Bronze"))))</f>
        <v/>
      </c>
      <c r="N382" s="26">
        <f>IF(J382="","",TODAY()-J382)</f>
        <v/>
      </c>
    </row>
    <row r="383">
      <c r="G383" s="14" t="n"/>
      <c r="H383" s="14" t="n"/>
      <c r="I383" s="21" t="n"/>
      <c r="J383" s="21" t="n"/>
      <c r="M383">
        <f>IF(G383="","",IF(G383&gt;=500,"Platinum",IF(G383&gt;=300,"Gold",IF(G383&gt;=100,"Silver","Bronze"))))</f>
        <v/>
      </c>
      <c r="N383" s="26">
        <f>IF(J383="","",TODAY()-J383)</f>
        <v/>
      </c>
    </row>
    <row r="384">
      <c r="G384" s="14" t="n"/>
      <c r="H384" s="14" t="n"/>
      <c r="I384" s="21" t="n"/>
      <c r="J384" s="21" t="n"/>
      <c r="M384">
        <f>IF(G384="","",IF(G384&gt;=500,"Platinum",IF(G384&gt;=300,"Gold",IF(G384&gt;=100,"Silver","Bronze"))))</f>
        <v/>
      </c>
      <c r="N384" s="26">
        <f>IF(J384="","",TODAY()-J384)</f>
        <v/>
      </c>
    </row>
    <row r="385">
      <c r="G385" s="14" t="n"/>
      <c r="H385" s="14" t="n"/>
      <c r="I385" s="21" t="n"/>
      <c r="J385" s="21" t="n"/>
      <c r="M385">
        <f>IF(G385="","",IF(G385&gt;=500,"Platinum",IF(G385&gt;=300,"Gold",IF(G385&gt;=100,"Silver","Bronze"))))</f>
        <v/>
      </c>
      <c r="N385" s="26">
        <f>IF(J385="","",TODAY()-J385)</f>
        <v/>
      </c>
    </row>
    <row r="386">
      <c r="G386" s="14" t="n"/>
      <c r="H386" s="14" t="n"/>
      <c r="I386" s="21" t="n"/>
      <c r="J386" s="21" t="n"/>
      <c r="M386">
        <f>IF(G386="","",IF(G386&gt;=500,"Platinum",IF(G386&gt;=300,"Gold",IF(G386&gt;=100,"Silver","Bronze"))))</f>
        <v/>
      </c>
      <c r="N386" s="26">
        <f>IF(J386="","",TODAY()-J386)</f>
        <v/>
      </c>
    </row>
    <row r="387">
      <c r="G387" s="14" t="n"/>
      <c r="H387" s="14" t="n"/>
      <c r="I387" s="21" t="n"/>
      <c r="J387" s="21" t="n"/>
      <c r="M387">
        <f>IF(G387="","",IF(G387&gt;=500,"Platinum",IF(G387&gt;=300,"Gold",IF(G387&gt;=100,"Silver","Bronze"))))</f>
        <v/>
      </c>
      <c r="N387" s="26">
        <f>IF(J387="","",TODAY()-J387)</f>
        <v/>
      </c>
    </row>
    <row r="388">
      <c r="G388" s="14" t="n"/>
      <c r="H388" s="14" t="n"/>
      <c r="I388" s="21" t="n"/>
      <c r="J388" s="21" t="n"/>
      <c r="M388">
        <f>IF(G388="","",IF(G388&gt;=500,"Platinum",IF(G388&gt;=300,"Gold",IF(G388&gt;=100,"Silver","Bronze"))))</f>
        <v/>
      </c>
      <c r="N388" s="26">
        <f>IF(J388="","",TODAY()-J388)</f>
        <v/>
      </c>
    </row>
    <row r="389">
      <c r="G389" s="14" t="n"/>
      <c r="H389" s="14" t="n"/>
      <c r="I389" s="21" t="n"/>
      <c r="J389" s="21" t="n"/>
      <c r="M389">
        <f>IF(G389="","",IF(G389&gt;=500,"Platinum",IF(G389&gt;=300,"Gold",IF(G389&gt;=100,"Silver","Bronze"))))</f>
        <v/>
      </c>
      <c r="N389" s="26">
        <f>IF(J389="","",TODAY()-J389)</f>
        <v/>
      </c>
    </row>
    <row r="390">
      <c r="G390" s="14" t="n"/>
      <c r="H390" s="14" t="n"/>
      <c r="I390" s="21" t="n"/>
      <c r="J390" s="21" t="n"/>
      <c r="M390">
        <f>IF(G390="","",IF(G390&gt;=500,"Platinum",IF(G390&gt;=300,"Gold",IF(G390&gt;=100,"Silver","Bronze"))))</f>
        <v/>
      </c>
      <c r="N390" s="26">
        <f>IF(J390="","",TODAY()-J390)</f>
        <v/>
      </c>
    </row>
    <row r="391">
      <c r="G391" s="14" t="n"/>
      <c r="H391" s="14" t="n"/>
      <c r="I391" s="21" t="n"/>
      <c r="J391" s="21" t="n"/>
      <c r="M391">
        <f>IF(G391="","",IF(G391&gt;=500,"Platinum",IF(G391&gt;=300,"Gold",IF(G391&gt;=100,"Silver","Bronze"))))</f>
        <v/>
      </c>
      <c r="N391" s="26">
        <f>IF(J391="","",TODAY()-J391)</f>
        <v/>
      </c>
    </row>
    <row r="392">
      <c r="G392" s="14" t="n"/>
      <c r="H392" s="14" t="n"/>
      <c r="I392" s="21" t="n"/>
      <c r="J392" s="21" t="n"/>
      <c r="M392">
        <f>IF(G392="","",IF(G392&gt;=500,"Platinum",IF(G392&gt;=300,"Gold",IF(G392&gt;=100,"Silver","Bronze"))))</f>
        <v/>
      </c>
      <c r="N392" s="26">
        <f>IF(J392="","",TODAY()-J392)</f>
        <v/>
      </c>
    </row>
    <row r="393">
      <c r="G393" s="14" t="n"/>
      <c r="H393" s="14" t="n"/>
      <c r="I393" s="21" t="n"/>
      <c r="J393" s="21" t="n"/>
      <c r="M393">
        <f>IF(G393="","",IF(G393&gt;=500,"Platinum",IF(G393&gt;=300,"Gold",IF(G393&gt;=100,"Silver","Bronze"))))</f>
        <v/>
      </c>
      <c r="N393" s="26">
        <f>IF(J393="","",TODAY()-J393)</f>
        <v/>
      </c>
    </row>
    <row r="394">
      <c r="G394" s="14" t="n"/>
      <c r="H394" s="14" t="n"/>
      <c r="I394" s="21" t="n"/>
      <c r="J394" s="21" t="n"/>
      <c r="M394">
        <f>IF(G394="","",IF(G394&gt;=500,"Platinum",IF(G394&gt;=300,"Gold",IF(G394&gt;=100,"Silver","Bronze"))))</f>
        <v/>
      </c>
      <c r="N394" s="26">
        <f>IF(J394="","",TODAY()-J394)</f>
        <v/>
      </c>
    </row>
    <row r="395">
      <c r="G395" s="14" t="n"/>
      <c r="H395" s="14" t="n"/>
      <c r="I395" s="21" t="n"/>
      <c r="J395" s="21" t="n"/>
      <c r="M395">
        <f>IF(G395="","",IF(G395&gt;=500,"Platinum",IF(G395&gt;=300,"Gold",IF(G395&gt;=100,"Silver","Bronze"))))</f>
        <v/>
      </c>
      <c r="N395" s="26">
        <f>IF(J395="","",TODAY()-J395)</f>
        <v/>
      </c>
    </row>
    <row r="396">
      <c r="G396" s="14" t="n"/>
      <c r="H396" s="14" t="n"/>
      <c r="I396" s="21" t="n"/>
      <c r="J396" s="21" t="n"/>
      <c r="M396">
        <f>IF(G396="","",IF(G396&gt;=500,"Platinum",IF(G396&gt;=300,"Gold",IF(G396&gt;=100,"Silver","Bronze"))))</f>
        <v/>
      </c>
      <c r="N396" s="26">
        <f>IF(J396="","",TODAY()-J396)</f>
        <v/>
      </c>
    </row>
    <row r="397">
      <c r="G397" s="14" t="n"/>
      <c r="H397" s="14" t="n"/>
      <c r="I397" s="21" t="n"/>
      <c r="J397" s="21" t="n"/>
      <c r="M397">
        <f>IF(G397="","",IF(G397&gt;=500,"Platinum",IF(G397&gt;=300,"Gold",IF(G397&gt;=100,"Silver","Bronze"))))</f>
        <v/>
      </c>
      <c r="N397" s="26">
        <f>IF(J397="","",TODAY()-J397)</f>
        <v/>
      </c>
    </row>
    <row r="398">
      <c r="G398" s="14" t="n"/>
      <c r="H398" s="14" t="n"/>
      <c r="I398" s="21" t="n"/>
      <c r="J398" s="21" t="n"/>
      <c r="M398">
        <f>IF(G398="","",IF(G398&gt;=500,"Platinum",IF(G398&gt;=300,"Gold",IF(G398&gt;=100,"Silver","Bronze"))))</f>
        <v/>
      </c>
      <c r="N398" s="26">
        <f>IF(J398="","",TODAY()-J398)</f>
        <v/>
      </c>
    </row>
    <row r="399">
      <c r="G399" s="14" t="n"/>
      <c r="H399" s="14" t="n"/>
      <c r="I399" s="21" t="n"/>
      <c r="J399" s="21" t="n"/>
      <c r="M399">
        <f>IF(G399="","",IF(G399&gt;=500,"Platinum",IF(G399&gt;=300,"Gold",IF(G399&gt;=100,"Silver","Bronze"))))</f>
        <v/>
      </c>
      <c r="N399" s="26">
        <f>IF(J399="","",TODAY()-J399)</f>
        <v/>
      </c>
    </row>
    <row r="400">
      <c r="G400" s="14" t="n"/>
      <c r="H400" s="14" t="n"/>
      <c r="I400" s="21" t="n"/>
      <c r="J400" s="21" t="n"/>
      <c r="M400">
        <f>IF(G400="","",IF(G400&gt;=500,"Platinum",IF(G400&gt;=300,"Gold",IF(G400&gt;=100,"Silver","Bronze"))))</f>
        <v/>
      </c>
      <c r="N400" s="26">
        <f>IF(J400="","",TODAY()-J400)</f>
        <v/>
      </c>
    </row>
    <row r="401">
      <c r="G401" s="14" t="n"/>
      <c r="H401" s="14" t="n"/>
      <c r="I401" s="21" t="n"/>
      <c r="J401" s="21" t="n"/>
      <c r="M401">
        <f>IF(G401="","",IF(G401&gt;=500,"Platinum",IF(G401&gt;=300,"Gold",IF(G401&gt;=100,"Silver","Bronze"))))</f>
        <v/>
      </c>
      <c r="N401" s="26">
        <f>IF(J401="","",TODAY()-J401)</f>
        <v/>
      </c>
    </row>
    <row r="402">
      <c r="G402" s="14" t="n"/>
      <c r="H402" s="14" t="n"/>
      <c r="I402" s="21" t="n"/>
      <c r="J402" s="21" t="n"/>
      <c r="M402">
        <f>IF(G402="","",IF(G402&gt;=500,"Platinum",IF(G402&gt;=300,"Gold",IF(G402&gt;=100,"Silver","Bronze"))))</f>
        <v/>
      </c>
      <c r="N402" s="26">
        <f>IF(J402="","",TODAY()-J402)</f>
        <v/>
      </c>
    </row>
    <row r="403">
      <c r="G403" s="14" t="n"/>
      <c r="H403" s="14" t="n"/>
      <c r="I403" s="21" t="n"/>
      <c r="J403" s="21" t="n"/>
      <c r="M403">
        <f>IF(G403="","",IF(G403&gt;=500,"Platinum",IF(G403&gt;=300,"Gold",IF(G403&gt;=100,"Silver","Bronze"))))</f>
        <v/>
      </c>
      <c r="N403" s="26">
        <f>IF(J403="","",TODAY()-J403)</f>
        <v/>
      </c>
    </row>
    <row r="404">
      <c r="G404" s="14" t="n"/>
      <c r="H404" s="14" t="n"/>
      <c r="I404" s="21" t="n"/>
      <c r="J404" s="21" t="n"/>
      <c r="M404">
        <f>IF(G404="","",IF(G404&gt;=500,"Platinum",IF(G404&gt;=300,"Gold",IF(G404&gt;=100,"Silver","Bronze"))))</f>
        <v/>
      </c>
      <c r="N404" s="26">
        <f>IF(J404="","",TODAY()-J404)</f>
        <v/>
      </c>
    </row>
    <row r="405">
      <c r="G405" s="14" t="n"/>
      <c r="H405" s="14" t="n"/>
      <c r="I405" s="21" t="n"/>
      <c r="J405" s="21" t="n"/>
      <c r="M405">
        <f>IF(G405="","",IF(G405&gt;=500,"Platinum",IF(G405&gt;=300,"Gold",IF(G405&gt;=100,"Silver","Bronze"))))</f>
        <v/>
      </c>
      <c r="N405" s="26">
        <f>IF(J405="","",TODAY()-J405)</f>
        <v/>
      </c>
    </row>
    <row r="406">
      <c r="G406" s="14" t="n"/>
      <c r="H406" s="14" t="n"/>
      <c r="I406" s="21" t="n"/>
      <c r="J406" s="21" t="n"/>
      <c r="M406">
        <f>IF(G406="","",IF(G406&gt;=500,"Platinum",IF(G406&gt;=300,"Gold",IF(G406&gt;=100,"Silver","Bronze"))))</f>
        <v/>
      </c>
      <c r="N406" s="26">
        <f>IF(J406="","",TODAY()-J406)</f>
        <v/>
      </c>
    </row>
    <row r="407">
      <c r="G407" s="14" t="n"/>
      <c r="H407" s="14" t="n"/>
      <c r="I407" s="21" t="n"/>
      <c r="J407" s="21" t="n"/>
      <c r="M407">
        <f>IF(G407="","",IF(G407&gt;=500,"Platinum",IF(G407&gt;=300,"Gold",IF(G407&gt;=100,"Silver","Bronze"))))</f>
        <v/>
      </c>
      <c r="N407" s="26">
        <f>IF(J407="","",TODAY()-J407)</f>
        <v/>
      </c>
    </row>
    <row r="408">
      <c r="G408" s="14" t="n"/>
      <c r="H408" s="14" t="n"/>
      <c r="I408" s="21" t="n"/>
      <c r="J408" s="21" t="n"/>
      <c r="M408">
        <f>IF(G408="","",IF(G408&gt;=500,"Platinum",IF(G408&gt;=300,"Gold",IF(G408&gt;=100,"Silver","Bronze"))))</f>
        <v/>
      </c>
      <c r="N408" s="26">
        <f>IF(J408="","",TODAY()-J408)</f>
        <v/>
      </c>
    </row>
    <row r="409">
      <c r="G409" s="14" t="n"/>
      <c r="H409" s="14" t="n"/>
      <c r="I409" s="21" t="n"/>
      <c r="J409" s="21" t="n"/>
      <c r="M409">
        <f>IF(G409="","",IF(G409&gt;=500,"Platinum",IF(G409&gt;=300,"Gold",IF(G409&gt;=100,"Silver","Bronze"))))</f>
        <v/>
      </c>
      <c r="N409" s="26">
        <f>IF(J409="","",TODAY()-J409)</f>
        <v/>
      </c>
    </row>
    <row r="410">
      <c r="G410" s="14" t="n"/>
      <c r="H410" s="14" t="n"/>
      <c r="I410" s="21" t="n"/>
      <c r="J410" s="21" t="n"/>
      <c r="M410">
        <f>IF(G410="","",IF(G410&gt;=500,"Platinum",IF(G410&gt;=300,"Gold",IF(G410&gt;=100,"Silver","Bronze"))))</f>
        <v/>
      </c>
      <c r="N410" s="26">
        <f>IF(J410="","",TODAY()-J410)</f>
        <v/>
      </c>
    </row>
    <row r="411">
      <c r="G411" s="14" t="n"/>
      <c r="H411" s="14" t="n"/>
      <c r="I411" s="21" t="n"/>
      <c r="J411" s="21" t="n"/>
      <c r="M411">
        <f>IF(G411="","",IF(G411&gt;=500,"Platinum",IF(G411&gt;=300,"Gold",IF(G411&gt;=100,"Silver","Bronze"))))</f>
        <v/>
      </c>
      <c r="N411" s="26">
        <f>IF(J411="","",TODAY()-J411)</f>
        <v/>
      </c>
    </row>
    <row r="412">
      <c r="G412" s="14" t="n"/>
      <c r="H412" s="14" t="n"/>
      <c r="I412" s="21" t="n"/>
      <c r="J412" s="21" t="n"/>
      <c r="M412">
        <f>IF(G412="","",IF(G412&gt;=500,"Platinum",IF(G412&gt;=300,"Gold",IF(G412&gt;=100,"Silver","Bronze"))))</f>
        <v/>
      </c>
      <c r="N412" s="26">
        <f>IF(J412="","",TODAY()-J412)</f>
        <v/>
      </c>
    </row>
    <row r="413">
      <c r="G413" s="14" t="n"/>
      <c r="H413" s="14" t="n"/>
      <c r="I413" s="21" t="n"/>
      <c r="J413" s="21" t="n"/>
      <c r="M413">
        <f>IF(G413="","",IF(G413&gt;=500,"Platinum",IF(G413&gt;=300,"Gold",IF(G413&gt;=100,"Silver","Bronze"))))</f>
        <v/>
      </c>
      <c r="N413" s="26">
        <f>IF(J413="","",TODAY()-J413)</f>
        <v/>
      </c>
    </row>
    <row r="414">
      <c r="G414" s="14" t="n"/>
      <c r="H414" s="14" t="n"/>
      <c r="I414" s="21" t="n"/>
      <c r="J414" s="21" t="n"/>
      <c r="M414">
        <f>IF(G414="","",IF(G414&gt;=500,"Platinum",IF(G414&gt;=300,"Gold",IF(G414&gt;=100,"Silver","Bronze"))))</f>
        <v/>
      </c>
      <c r="N414" s="26">
        <f>IF(J414="","",TODAY()-J414)</f>
        <v/>
      </c>
    </row>
    <row r="415">
      <c r="G415" s="14" t="n"/>
      <c r="H415" s="14" t="n"/>
      <c r="I415" s="21" t="n"/>
      <c r="J415" s="21" t="n"/>
      <c r="M415">
        <f>IF(G415="","",IF(G415&gt;=500,"Platinum",IF(G415&gt;=300,"Gold",IF(G415&gt;=100,"Silver","Bronze"))))</f>
        <v/>
      </c>
      <c r="N415" s="26">
        <f>IF(J415="","",TODAY()-J415)</f>
        <v/>
      </c>
    </row>
    <row r="416">
      <c r="G416" s="14" t="n"/>
      <c r="H416" s="14" t="n"/>
      <c r="I416" s="21" t="n"/>
      <c r="J416" s="21" t="n"/>
      <c r="M416">
        <f>IF(G416="","",IF(G416&gt;=500,"Platinum",IF(G416&gt;=300,"Gold",IF(G416&gt;=100,"Silver","Bronze"))))</f>
        <v/>
      </c>
      <c r="N416" s="26">
        <f>IF(J416="","",TODAY()-J416)</f>
        <v/>
      </c>
    </row>
    <row r="417">
      <c r="G417" s="14" t="n"/>
      <c r="H417" s="14" t="n"/>
      <c r="I417" s="21" t="n"/>
      <c r="J417" s="21" t="n"/>
      <c r="M417">
        <f>IF(G417="","",IF(G417&gt;=500,"Platinum",IF(G417&gt;=300,"Gold",IF(G417&gt;=100,"Silver","Bronze"))))</f>
        <v/>
      </c>
      <c r="N417" s="26">
        <f>IF(J417="","",TODAY()-J417)</f>
        <v/>
      </c>
    </row>
    <row r="418">
      <c r="G418" s="14" t="n"/>
      <c r="H418" s="14" t="n"/>
      <c r="I418" s="21" t="n"/>
      <c r="J418" s="21" t="n"/>
      <c r="M418">
        <f>IF(G418="","",IF(G418&gt;=500,"Platinum",IF(G418&gt;=300,"Gold",IF(G418&gt;=100,"Silver","Bronze"))))</f>
        <v/>
      </c>
      <c r="N418" s="26">
        <f>IF(J418="","",TODAY()-J418)</f>
        <v/>
      </c>
    </row>
    <row r="419">
      <c r="G419" s="14" t="n"/>
      <c r="H419" s="14" t="n"/>
      <c r="I419" s="21" t="n"/>
      <c r="J419" s="21" t="n"/>
      <c r="M419">
        <f>IF(G419="","",IF(G419&gt;=500,"Platinum",IF(G419&gt;=300,"Gold",IF(G419&gt;=100,"Silver","Bronze"))))</f>
        <v/>
      </c>
      <c r="N419" s="26">
        <f>IF(J419="","",TODAY()-J419)</f>
        <v/>
      </c>
    </row>
    <row r="420">
      <c r="G420" s="14" t="n"/>
      <c r="H420" s="14" t="n"/>
      <c r="I420" s="21" t="n"/>
      <c r="J420" s="21" t="n"/>
      <c r="M420">
        <f>IF(G420="","",IF(G420&gt;=500,"Platinum",IF(G420&gt;=300,"Gold",IF(G420&gt;=100,"Silver","Bronze"))))</f>
        <v/>
      </c>
      <c r="N420" s="26">
        <f>IF(J420="","",TODAY()-J420)</f>
        <v/>
      </c>
    </row>
    <row r="421">
      <c r="G421" s="14" t="n"/>
      <c r="H421" s="14" t="n"/>
      <c r="I421" s="21" t="n"/>
      <c r="J421" s="21" t="n"/>
      <c r="M421">
        <f>IF(G421="","",IF(G421&gt;=500,"Platinum",IF(G421&gt;=300,"Gold",IF(G421&gt;=100,"Silver","Bronze"))))</f>
        <v/>
      </c>
      <c r="N421" s="26">
        <f>IF(J421="","",TODAY()-J421)</f>
        <v/>
      </c>
    </row>
    <row r="422">
      <c r="G422" s="14" t="n"/>
      <c r="H422" s="14" t="n"/>
      <c r="I422" s="21" t="n"/>
      <c r="J422" s="21" t="n"/>
      <c r="M422">
        <f>IF(G422="","",IF(G422&gt;=500,"Platinum",IF(G422&gt;=300,"Gold",IF(G422&gt;=100,"Silver","Bronze"))))</f>
        <v/>
      </c>
      <c r="N422" s="26">
        <f>IF(J422="","",TODAY()-J422)</f>
        <v/>
      </c>
    </row>
    <row r="423">
      <c r="G423" s="14" t="n"/>
      <c r="H423" s="14" t="n"/>
      <c r="I423" s="21" t="n"/>
      <c r="J423" s="21" t="n"/>
      <c r="M423">
        <f>IF(G423="","",IF(G423&gt;=500,"Platinum",IF(G423&gt;=300,"Gold",IF(G423&gt;=100,"Silver","Bronze"))))</f>
        <v/>
      </c>
      <c r="N423" s="26">
        <f>IF(J423="","",TODAY()-J423)</f>
        <v/>
      </c>
    </row>
    <row r="424">
      <c r="G424" s="14" t="n"/>
      <c r="H424" s="14" t="n"/>
      <c r="I424" s="21" t="n"/>
      <c r="J424" s="21" t="n"/>
      <c r="M424">
        <f>IF(G424="","",IF(G424&gt;=500,"Platinum",IF(G424&gt;=300,"Gold",IF(G424&gt;=100,"Silver","Bronze"))))</f>
        <v/>
      </c>
      <c r="N424" s="26">
        <f>IF(J424="","",TODAY()-J424)</f>
        <v/>
      </c>
    </row>
    <row r="425">
      <c r="G425" s="14" t="n"/>
      <c r="H425" s="14" t="n"/>
      <c r="I425" s="21" t="n"/>
      <c r="J425" s="21" t="n"/>
      <c r="M425">
        <f>IF(G425="","",IF(G425&gt;=500,"Platinum",IF(G425&gt;=300,"Gold",IF(G425&gt;=100,"Silver","Bronze"))))</f>
        <v/>
      </c>
      <c r="N425" s="26">
        <f>IF(J425="","",TODAY()-J425)</f>
        <v/>
      </c>
    </row>
    <row r="426">
      <c r="G426" s="14" t="n"/>
      <c r="H426" s="14" t="n"/>
      <c r="I426" s="21" t="n"/>
      <c r="J426" s="21" t="n"/>
      <c r="M426">
        <f>IF(G426="","",IF(G426&gt;=500,"Platinum",IF(G426&gt;=300,"Gold",IF(G426&gt;=100,"Silver","Bronze"))))</f>
        <v/>
      </c>
      <c r="N426" s="26">
        <f>IF(J426="","",TODAY()-J426)</f>
        <v/>
      </c>
    </row>
    <row r="427">
      <c r="G427" s="14" t="n"/>
      <c r="H427" s="14" t="n"/>
      <c r="I427" s="21" t="n"/>
      <c r="J427" s="21" t="n"/>
      <c r="M427">
        <f>IF(G427="","",IF(G427&gt;=500,"Platinum",IF(G427&gt;=300,"Gold",IF(G427&gt;=100,"Silver","Bronze"))))</f>
        <v/>
      </c>
      <c r="N427" s="26">
        <f>IF(J427="","",TODAY()-J427)</f>
        <v/>
      </c>
    </row>
    <row r="428">
      <c r="G428" s="14" t="n"/>
      <c r="H428" s="14" t="n"/>
      <c r="I428" s="21" t="n"/>
      <c r="J428" s="21" t="n"/>
      <c r="M428">
        <f>IF(G428="","",IF(G428&gt;=500,"Platinum",IF(G428&gt;=300,"Gold",IF(G428&gt;=100,"Silver","Bronze"))))</f>
        <v/>
      </c>
      <c r="N428" s="26">
        <f>IF(J428="","",TODAY()-J428)</f>
        <v/>
      </c>
    </row>
    <row r="429">
      <c r="G429" s="14" t="n"/>
      <c r="H429" s="14" t="n"/>
      <c r="I429" s="21" t="n"/>
      <c r="J429" s="21" t="n"/>
      <c r="M429">
        <f>IF(G429="","",IF(G429&gt;=500,"Platinum",IF(G429&gt;=300,"Gold",IF(G429&gt;=100,"Silver","Bronze"))))</f>
        <v/>
      </c>
      <c r="N429" s="26">
        <f>IF(J429="","",TODAY()-J429)</f>
        <v/>
      </c>
    </row>
    <row r="430">
      <c r="G430" s="14" t="n"/>
      <c r="H430" s="14" t="n"/>
      <c r="I430" s="21" t="n"/>
      <c r="J430" s="21" t="n"/>
      <c r="M430">
        <f>IF(G430="","",IF(G430&gt;=500,"Platinum",IF(G430&gt;=300,"Gold",IF(G430&gt;=100,"Silver","Bronze"))))</f>
        <v/>
      </c>
      <c r="N430" s="26">
        <f>IF(J430="","",TODAY()-J430)</f>
        <v/>
      </c>
    </row>
    <row r="431">
      <c r="G431" s="14" t="n"/>
      <c r="H431" s="14" t="n"/>
      <c r="I431" s="21" t="n"/>
      <c r="J431" s="21" t="n"/>
      <c r="M431">
        <f>IF(G431="","",IF(G431&gt;=500,"Platinum",IF(G431&gt;=300,"Gold",IF(G431&gt;=100,"Silver","Bronze"))))</f>
        <v/>
      </c>
      <c r="N431" s="26">
        <f>IF(J431="","",TODAY()-J431)</f>
        <v/>
      </c>
    </row>
    <row r="432">
      <c r="G432" s="14" t="n"/>
      <c r="H432" s="14" t="n"/>
      <c r="I432" s="21" t="n"/>
      <c r="J432" s="21" t="n"/>
      <c r="M432">
        <f>IF(G432="","",IF(G432&gt;=500,"Platinum",IF(G432&gt;=300,"Gold",IF(G432&gt;=100,"Silver","Bronze"))))</f>
        <v/>
      </c>
      <c r="N432" s="26">
        <f>IF(J432="","",TODAY()-J432)</f>
        <v/>
      </c>
    </row>
    <row r="433">
      <c r="G433" s="14" t="n"/>
      <c r="H433" s="14" t="n"/>
      <c r="I433" s="21" t="n"/>
      <c r="J433" s="21" t="n"/>
      <c r="M433">
        <f>IF(G433="","",IF(G433&gt;=500,"Platinum",IF(G433&gt;=300,"Gold",IF(G433&gt;=100,"Silver","Bronze"))))</f>
        <v/>
      </c>
      <c r="N433" s="26">
        <f>IF(J433="","",TODAY()-J433)</f>
        <v/>
      </c>
    </row>
    <row r="434">
      <c r="G434" s="14" t="n"/>
      <c r="H434" s="14" t="n"/>
      <c r="I434" s="21" t="n"/>
      <c r="J434" s="21" t="n"/>
      <c r="M434">
        <f>IF(G434="","",IF(G434&gt;=500,"Platinum",IF(G434&gt;=300,"Gold",IF(G434&gt;=100,"Silver","Bronze"))))</f>
        <v/>
      </c>
      <c r="N434" s="26">
        <f>IF(J434="","",TODAY()-J434)</f>
        <v/>
      </c>
    </row>
    <row r="435">
      <c r="G435" s="14" t="n"/>
      <c r="H435" s="14" t="n"/>
      <c r="I435" s="21" t="n"/>
      <c r="J435" s="21" t="n"/>
      <c r="M435">
        <f>IF(G435="","",IF(G435&gt;=500,"Platinum",IF(G435&gt;=300,"Gold",IF(G435&gt;=100,"Silver","Bronze"))))</f>
        <v/>
      </c>
      <c r="N435" s="26">
        <f>IF(J435="","",TODAY()-J435)</f>
        <v/>
      </c>
    </row>
    <row r="436">
      <c r="G436" s="14" t="n"/>
      <c r="H436" s="14" t="n"/>
      <c r="I436" s="21" t="n"/>
      <c r="J436" s="21" t="n"/>
      <c r="M436">
        <f>IF(G436="","",IF(G436&gt;=500,"Platinum",IF(G436&gt;=300,"Gold",IF(G436&gt;=100,"Silver","Bronze"))))</f>
        <v/>
      </c>
      <c r="N436" s="26">
        <f>IF(J436="","",TODAY()-J436)</f>
        <v/>
      </c>
    </row>
    <row r="437">
      <c r="G437" s="14" t="n"/>
      <c r="H437" s="14" t="n"/>
      <c r="I437" s="21" t="n"/>
      <c r="J437" s="21" t="n"/>
      <c r="M437">
        <f>IF(G437="","",IF(G437&gt;=500,"Platinum",IF(G437&gt;=300,"Gold",IF(G437&gt;=100,"Silver","Bronze"))))</f>
        <v/>
      </c>
      <c r="N437" s="26">
        <f>IF(J437="","",TODAY()-J437)</f>
        <v/>
      </c>
    </row>
    <row r="438">
      <c r="G438" s="14" t="n"/>
      <c r="H438" s="14" t="n"/>
      <c r="I438" s="21" t="n"/>
      <c r="J438" s="21" t="n"/>
      <c r="M438">
        <f>IF(G438="","",IF(G438&gt;=500,"Platinum",IF(G438&gt;=300,"Gold",IF(G438&gt;=100,"Silver","Bronze"))))</f>
        <v/>
      </c>
      <c r="N438" s="26">
        <f>IF(J438="","",TODAY()-J438)</f>
        <v/>
      </c>
    </row>
    <row r="439">
      <c r="G439" s="14" t="n"/>
      <c r="H439" s="14" t="n"/>
      <c r="I439" s="21" t="n"/>
      <c r="J439" s="21" t="n"/>
      <c r="M439">
        <f>IF(G439="","",IF(G439&gt;=500,"Platinum",IF(G439&gt;=300,"Gold",IF(G439&gt;=100,"Silver","Bronze"))))</f>
        <v/>
      </c>
      <c r="N439" s="26">
        <f>IF(J439="","",TODAY()-J439)</f>
        <v/>
      </c>
    </row>
    <row r="440">
      <c r="G440" s="14" t="n"/>
      <c r="H440" s="14" t="n"/>
      <c r="I440" s="21" t="n"/>
      <c r="J440" s="21" t="n"/>
      <c r="M440">
        <f>IF(G440="","",IF(G440&gt;=500,"Platinum",IF(G440&gt;=300,"Gold",IF(G440&gt;=100,"Silver","Bronze"))))</f>
        <v/>
      </c>
      <c r="N440" s="26">
        <f>IF(J440="","",TODAY()-J440)</f>
        <v/>
      </c>
    </row>
    <row r="441">
      <c r="G441" s="14" t="n"/>
      <c r="H441" s="14" t="n"/>
      <c r="I441" s="21" t="n"/>
      <c r="J441" s="21" t="n"/>
      <c r="M441">
        <f>IF(G441="","",IF(G441&gt;=500,"Platinum",IF(G441&gt;=300,"Gold",IF(G441&gt;=100,"Silver","Bronze"))))</f>
        <v/>
      </c>
      <c r="N441" s="26">
        <f>IF(J441="","",TODAY()-J441)</f>
        <v/>
      </c>
    </row>
    <row r="442">
      <c r="G442" s="14" t="n"/>
      <c r="H442" s="14" t="n"/>
      <c r="I442" s="21" t="n"/>
      <c r="J442" s="21" t="n"/>
      <c r="M442">
        <f>IF(G442="","",IF(G442&gt;=500,"Platinum",IF(G442&gt;=300,"Gold",IF(G442&gt;=100,"Silver","Bronze"))))</f>
        <v/>
      </c>
      <c r="N442" s="26">
        <f>IF(J442="","",TODAY()-J442)</f>
        <v/>
      </c>
    </row>
    <row r="443">
      <c r="G443" s="14" t="n"/>
      <c r="H443" s="14" t="n"/>
      <c r="I443" s="21" t="n"/>
      <c r="J443" s="21" t="n"/>
      <c r="M443">
        <f>IF(G443="","",IF(G443&gt;=500,"Platinum",IF(G443&gt;=300,"Gold",IF(G443&gt;=100,"Silver","Bronze"))))</f>
        <v/>
      </c>
      <c r="N443" s="26">
        <f>IF(J443="","",TODAY()-J443)</f>
        <v/>
      </c>
    </row>
    <row r="444">
      <c r="G444" s="14" t="n"/>
      <c r="H444" s="14" t="n"/>
      <c r="I444" s="21" t="n"/>
      <c r="J444" s="21" t="n"/>
      <c r="M444">
        <f>IF(G444="","",IF(G444&gt;=500,"Platinum",IF(G444&gt;=300,"Gold",IF(G444&gt;=100,"Silver","Bronze"))))</f>
        <v/>
      </c>
      <c r="N444" s="26">
        <f>IF(J444="","",TODAY()-J444)</f>
        <v/>
      </c>
    </row>
    <row r="445">
      <c r="G445" s="14" t="n"/>
      <c r="H445" s="14" t="n"/>
      <c r="I445" s="21" t="n"/>
      <c r="J445" s="21" t="n"/>
      <c r="M445">
        <f>IF(G445="","",IF(G445&gt;=500,"Platinum",IF(G445&gt;=300,"Gold",IF(G445&gt;=100,"Silver","Bronze"))))</f>
        <v/>
      </c>
      <c r="N445" s="26">
        <f>IF(J445="","",TODAY()-J445)</f>
        <v/>
      </c>
    </row>
    <row r="446">
      <c r="G446" s="14" t="n"/>
      <c r="H446" s="14" t="n"/>
      <c r="I446" s="21" t="n"/>
      <c r="J446" s="21" t="n"/>
      <c r="M446">
        <f>IF(G446="","",IF(G446&gt;=500,"Platinum",IF(G446&gt;=300,"Gold",IF(G446&gt;=100,"Silver","Bronze"))))</f>
        <v/>
      </c>
      <c r="N446" s="26">
        <f>IF(J446="","",TODAY()-J446)</f>
        <v/>
      </c>
    </row>
    <row r="447">
      <c r="G447" s="14" t="n"/>
      <c r="H447" s="14" t="n"/>
      <c r="I447" s="21" t="n"/>
      <c r="J447" s="21" t="n"/>
      <c r="M447">
        <f>IF(G447="","",IF(G447&gt;=500,"Platinum",IF(G447&gt;=300,"Gold",IF(G447&gt;=100,"Silver","Bronze"))))</f>
        <v/>
      </c>
      <c r="N447" s="26">
        <f>IF(J447="","",TODAY()-J447)</f>
        <v/>
      </c>
    </row>
    <row r="448">
      <c r="G448" s="14" t="n"/>
      <c r="H448" s="14" t="n"/>
      <c r="I448" s="21" t="n"/>
      <c r="J448" s="21" t="n"/>
      <c r="M448">
        <f>IF(G448="","",IF(G448&gt;=500,"Platinum",IF(G448&gt;=300,"Gold",IF(G448&gt;=100,"Silver","Bronze"))))</f>
        <v/>
      </c>
      <c r="N448" s="26">
        <f>IF(J448="","",TODAY()-J448)</f>
        <v/>
      </c>
    </row>
    <row r="449">
      <c r="G449" s="14" t="n"/>
      <c r="H449" s="14" t="n"/>
      <c r="I449" s="21" t="n"/>
      <c r="J449" s="21" t="n"/>
      <c r="M449">
        <f>IF(G449="","",IF(G449&gt;=500,"Platinum",IF(G449&gt;=300,"Gold",IF(G449&gt;=100,"Silver","Bronze"))))</f>
        <v/>
      </c>
      <c r="N449" s="26">
        <f>IF(J449="","",TODAY()-J449)</f>
        <v/>
      </c>
    </row>
    <row r="450">
      <c r="G450" s="14" t="n"/>
      <c r="H450" s="14" t="n"/>
      <c r="I450" s="21" t="n"/>
      <c r="J450" s="21" t="n"/>
      <c r="M450">
        <f>IF(G450="","",IF(G450&gt;=500,"Platinum",IF(G450&gt;=300,"Gold",IF(G450&gt;=100,"Silver","Bronze"))))</f>
        <v/>
      </c>
      <c r="N450" s="26">
        <f>IF(J450="","",TODAY()-J450)</f>
        <v/>
      </c>
    </row>
    <row r="451">
      <c r="G451" s="14" t="n"/>
      <c r="H451" s="14" t="n"/>
      <c r="I451" s="21" t="n"/>
      <c r="J451" s="21" t="n"/>
      <c r="M451">
        <f>IF(G451="","",IF(G451&gt;=500,"Platinum",IF(G451&gt;=300,"Gold",IF(G451&gt;=100,"Silver","Bronze"))))</f>
        <v/>
      </c>
      <c r="N451" s="26">
        <f>IF(J451="","",TODAY()-J451)</f>
        <v/>
      </c>
    </row>
    <row r="452">
      <c r="G452" s="14" t="n"/>
      <c r="H452" s="14" t="n"/>
      <c r="I452" s="21" t="n"/>
      <c r="J452" s="21" t="n"/>
      <c r="M452">
        <f>IF(G452="","",IF(G452&gt;=500,"Platinum",IF(G452&gt;=300,"Gold",IF(G452&gt;=100,"Silver","Bronze"))))</f>
        <v/>
      </c>
      <c r="N452" s="26">
        <f>IF(J452="","",TODAY()-J452)</f>
        <v/>
      </c>
    </row>
    <row r="453">
      <c r="G453" s="14" t="n"/>
      <c r="H453" s="14" t="n"/>
      <c r="I453" s="21" t="n"/>
      <c r="J453" s="21" t="n"/>
      <c r="M453">
        <f>IF(G453="","",IF(G453&gt;=500,"Platinum",IF(G453&gt;=300,"Gold",IF(G453&gt;=100,"Silver","Bronze"))))</f>
        <v/>
      </c>
      <c r="N453" s="26">
        <f>IF(J453="","",TODAY()-J453)</f>
        <v/>
      </c>
    </row>
    <row r="454">
      <c r="G454" s="14" t="n"/>
      <c r="H454" s="14" t="n"/>
      <c r="I454" s="21" t="n"/>
      <c r="J454" s="21" t="n"/>
      <c r="M454">
        <f>IF(G454="","",IF(G454&gt;=500,"Platinum",IF(G454&gt;=300,"Gold",IF(G454&gt;=100,"Silver","Bronze"))))</f>
        <v/>
      </c>
      <c r="N454" s="26">
        <f>IF(J454="","",TODAY()-J454)</f>
        <v/>
      </c>
    </row>
    <row r="455">
      <c r="G455" s="14" t="n"/>
      <c r="H455" s="14" t="n"/>
      <c r="I455" s="21" t="n"/>
      <c r="J455" s="21" t="n"/>
      <c r="M455">
        <f>IF(G455="","",IF(G455&gt;=500,"Platinum",IF(G455&gt;=300,"Gold",IF(G455&gt;=100,"Silver","Bronze"))))</f>
        <v/>
      </c>
      <c r="N455" s="26">
        <f>IF(J455="","",TODAY()-J455)</f>
        <v/>
      </c>
    </row>
    <row r="456">
      <c r="G456" s="14" t="n"/>
      <c r="H456" s="14" t="n"/>
      <c r="I456" s="21" t="n"/>
      <c r="J456" s="21" t="n"/>
      <c r="M456">
        <f>IF(G456="","",IF(G456&gt;=500,"Platinum",IF(G456&gt;=300,"Gold",IF(G456&gt;=100,"Silver","Bronze"))))</f>
        <v/>
      </c>
      <c r="N456" s="26">
        <f>IF(J456="","",TODAY()-J456)</f>
        <v/>
      </c>
    </row>
    <row r="457">
      <c r="G457" s="14" t="n"/>
      <c r="H457" s="14" t="n"/>
      <c r="I457" s="21" t="n"/>
      <c r="J457" s="21" t="n"/>
      <c r="M457">
        <f>IF(G457="","",IF(G457&gt;=500,"Platinum",IF(G457&gt;=300,"Gold",IF(G457&gt;=100,"Silver","Bronze"))))</f>
        <v/>
      </c>
      <c r="N457" s="26">
        <f>IF(J457="","",TODAY()-J457)</f>
        <v/>
      </c>
    </row>
    <row r="458">
      <c r="G458" s="14" t="n"/>
      <c r="H458" s="14" t="n"/>
      <c r="I458" s="21" t="n"/>
      <c r="J458" s="21" t="n"/>
      <c r="M458">
        <f>IF(G458="","",IF(G458&gt;=500,"Platinum",IF(G458&gt;=300,"Gold",IF(G458&gt;=100,"Silver","Bronze"))))</f>
        <v/>
      </c>
      <c r="N458" s="26">
        <f>IF(J458="","",TODAY()-J458)</f>
        <v/>
      </c>
    </row>
    <row r="459">
      <c r="G459" s="14" t="n"/>
      <c r="H459" s="14" t="n"/>
      <c r="I459" s="21" t="n"/>
      <c r="J459" s="21" t="n"/>
      <c r="M459">
        <f>IF(G459="","",IF(G459&gt;=500,"Platinum",IF(G459&gt;=300,"Gold",IF(G459&gt;=100,"Silver","Bronze"))))</f>
        <v/>
      </c>
      <c r="N459" s="26">
        <f>IF(J459="","",TODAY()-J459)</f>
        <v/>
      </c>
    </row>
    <row r="460">
      <c r="G460" s="14" t="n"/>
      <c r="H460" s="14" t="n"/>
      <c r="I460" s="21" t="n"/>
      <c r="J460" s="21" t="n"/>
      <c r="M460">
        <f>IF(G460="","",IF(G460&gt;=500,"Platinum",IF(G460&gt;=300,"Gold",IF(G460&gt;=100,"Silver","Bronze"))))</f>
        <v/>
      </c>
      <c r="N460" s="26">
        <f>IF(J460="","",TODAY()-J460)</f>
        <v/>
      </c>
    </row>
    <row r="461">
      <c r="G461" s="14" t="n"/>
      <c r="H461" s="14" t="n"/>
      <c r="I461" s="21" t="n"/>
      <c r="J461" s="21" t="n"/>
      <c r="M461">
        <f>IF(G461="","",IF(G461&gt;=500,"Platinum",IF(G461&gt;=300,"Gold",IF(G461&gt;=100,"Silver","Bronze"))))</f>
        <v/>
      </c>
      <c r="N461" s="26">
        <f>IF(J461="","",TODAY()-J461)</f>
        <v/>
      </c>
    </row>
    <row r="462">
      <c r="G462" s="14" t="n"/>
      <c r="H462" s="14" t="n"/>
      <c r="I462" s="21" t="n"/>
      <c r="J462" s="21" t="n"/>
      <c r="M462">
        <f>IF(G462="","",IF(G462&gt;=500,"Platinum",IF(G462&gt;=300,"Gold",IF(G462&gt;=100,"Silver","Bronze"))))</f>
        <v/>
      </c>
      <c r="N462" s="26">
        <f>IF(J462="","",TODAY()-J462)</f>
        <v/>
      </c>
    </row>
    <row r="463">
      <c r="G463" s="14" t="n"/>
      <c r="H463" s="14" t="n"/>
      <c r="I463" s="21" t="n"/>
      <c r="J463" s="21" t="n"/>
      <c r="M463">
        <f>IF(G463="","",IF(G463&gt;=500,"Platinum",IF(G463&gt;=300,"Gold",IF(G463&gt;=100,"Silver","Bronze"))))</f>
        <v/>
      </c>
      <c r="N463" s="26">
        <f>IF(J463="","",TODAY()-J463)</f>
        <v/>
      </c>
    </row>
    <row r="464">
      <c r="G464" s="14" t="n"/>
      <c r="H464" s="14" t="n"/>
      <c r="I464" s="21" t="n"/>
      <c r="J464" s="21" t="n"/>
      <c r="M464">
        <f>IF(G464="","",IF(G464&gt;=500,"Platinum",IF(G464&gt;=300,"Gold",IF(G464&gt;=100,"Silver","Bronze"))))</f>
        <v/>
      </c>
      <c r="N464" s="26">
        <f>IF(J464="","",TODAY()-J464)</f>
        <v/>
      </c>
    </row>
    <row r="465">
      <c r="G465" s="14" t="n"/>
      <c r="H465" s="14" t="n"/>
      <c r="I465" s="21" t="n"/>
      <c r="J465" s="21" t="n"/>
      <c r="M465">
        <f>IF(G465="","",IF(G465&gt;=500,"Platinum",IF(G465&gt;=300,"Gold",IF(G465&gt;=100,"Silver","Bronze"))))</f>
        <v/>
      </c>
      <c r="N465" s="26">
        <f>IF(J465="","",TODAY()-J465)</f>
        <v/>
      </c>
    </row>
    <row r="466">
      <c r="G466" s="14" t="n"/>
      <c r="H466" s="14" t="n"/>
      <c r="I466" s="21" t="n"/>
      <c r="J466" s="21" t="n"/>
      <c r="M466">
        <f>IF(G466="","",IF(G466&gt;=500,"Platinum",IF(G466&gt;=300,"Gold",IF(G466&gt;=100,"Silver","Bronze"))))</f>
        <v/>
      </c>
      <c r="N466" s="26">
        <f>IF(J466="","",TODAY()-J466)</f>
        <v/>
      </c>
    </row>
    <row r="467">
      <c r="G467" s="14" t="n"/>
      <c r="H467" s="14" t="n"/>
      <c r="I467" s="21" t="n"/>
      <c r="J467" s="21" t="n"/>
      <c r="M467">
        <f>IF(G467="","",IF(G467&gt;=500,"Platinum",IF(G467&gt;=300,"Gold",IF(G467&gt;=100,"Silver","Bronze"))))</f>
        <v/>
      </c>
      <c r="N467" s="26">
        <f>IF(J467="","",TODAY()-J467)</f>
        <v/>
      </c>
    </row>
    <row r="468">
      <c r="G468" s="14" t="n"/>
      <c r="H468" s="14" t="n"/>
      <c r="I468" s="21" t="n"/>
      <c r="J468" s="21" t="n"/>
      <c r="M468">
        <f>IF(G468="","",IF(G468&gt;=500,"Platinum",IF(G468&gt;=300,"Gold",IF(G468&gt;=100,"Silver","Bronze"))))</f>
        <v/>
      </c>
      <c r="N468" s="26">
        <f>IF(J468="","",TODAY()-J468)</f>
        <v/>
      </c>
    </row>
    <row r="469">
      <c r="G469" s="14" t="n"/>
      <c r="H469" s="14" t="n"/>
      <c r="I469" s="21" t="n"/>
      <c r="J469" s="21" t="n"/>
      <c r="M469">
        <f>IF(G469="","",IF(G469&gt;=500,"Platinum",IF(G469&gt;=300,"Gold",IF(G469&gt;=100,"Silver","Bronze"))))</f>
        <v/>
      </c>
      <c r="N469" s="26">
        <f>IF(J469="","",TODAY()-J469)</f>
        <v/>
      </c>
    </row>
    <row r="470">
      <c r="G470" s="14" t="n"/>
      <c r="H470" s="14" t="n"/>
      <c r="I470" s="21" t="n"/>
      <c r="J470" s="21" t="n"/>
      <c r="M470">
        <f>IF(G470="","",IF(G470&gt;=500,"Platinum",IF(G470&gt;=300,"Gold",IF(G470&gt;=100,"Silver","Bronze"))))</f>
        <v/>
      </c>
      <c r="N470" s="26">
        <f>IF(J470="","",TODAY()-J470)</f>
        <v/>
      </c>
    </row>
    <row r="471">
      <c r="G471" s="14" t="n"/>
      <c r="H471" s="14" t="n"/>
      <c r="I471" s="21" t="n"/>
      <c r="J471" s="21" t="n"/>
      <c r="M471">
        <f>IF(G471="","",IF(G471&gt;=500,"Platinum",IF(G471&gt;=300,"Gold",IF(G471&gt;=100,"Silver","Bronze"))))</f>
        <v/>
      </c>
      <c r="N471" s="26">
        <f>IF(J471="","",TODAY()-J471)</f>
        <v/>
      </c>
    </row>
    <row r="472">
      <c r="G472" s="14" t="n"/>
      <c r="H472" s="14" t="n"/>
      <c r="I472" s="21" t="n"/>
      <c r="J472" s="21" t="n"/>
      <c r="M472">
        <f>IF(G472="","",IF(G472&gt;=500,"Platinum",IF(G472&gt;=300,"Gold",IF(G472&gt;=100,"Silver","Bronze"))))</f>
        <v/>
      </c>
      <c r="N472" s="26">
        <f>IF(J472="","",TODAY()-J472)</f>
        <v/>
      </c>
    </row>
    <row r="473">
      <c r="G473" s="14" t="n"/>
      <c r="H473" s="14" t="n"/>
      <c r="I473" s="21" t="n"/>
      <c r="J473" s="21" t="n"/>
      <c r="M473">
        <f>IF(G473="","",IF(G473&gt;=500,"Platinum",IF(G473&gt;=300,"Gold",IF(G473&gt;=100,"Silver","Bronze"))))</f>
        <v/>
      </c>
      <c r="N473" s="26">
        <f>IF(J473="","",TODAY()-J473)</f>
        <v/>
      </c>
    </row>
    <row r="474">
      <c r="G474" s="14" t="n"/>
      <c r="H474" s="14" t="n"/>
      <c r="I474" s="21" t="n"/>
      <c r="J474" s="21" t="n"/>
      <c r="M474">
        <f>IF(G474="","",IF(G474&gt;=500,"Platinum",IF(G474&gt;=300,"Gold",IF(G474&gt;=100,"Silver","Bronze"))))</f>
        <v/>
      </c>
      <c r="N474" s="26">
        <f>IF(J474="","",TODAY()-J474)</f>
        <v/>
      </c>
    </row>
    <row r="475">
      <c r="G475" s="14" t="n"/>
      <c r="H475" s="14" t="n"/>
      <c r="I475" s="21" t="n"/>
      <c r="J475" s="21" t="n"/>
      <c r="M475">
        <f>IF(G475="","",IF(G475&gt;=500,"Platinum",IF(G475&gt;=300,"Gold",IF(G475&gt;=100,"Silver","Bronze"))))</f>
        <v/>
      </c>
      <c r="N475" s="26">
        <f>IF(J475="","",TODAY()-J475)</f>
        <v/>
      </c>
    </row>
    <row r="476">
      <c r="G476" s="14" t="n"/>
      <c r="H476" s="14" t="n"/>
      <c r="I476" s="21" t="n"/>
      <c r="J476" s="21" t="n"/>
      <c r="M476">
        <f>IF(G476="","",IF(G476&gt;=500,"Platinum",IF(G476&gt;=300,"Gold",IF(G476&gt;=100,"Silver","Bronze"))))</f>
        <v/>
      </c>
      <c r="N476" s="26">
        <f>IF(J476="","",TODAY()-J476)</f>
        <v/>
      </c>
    </row>
    <row r="477">
      <c r="G477" s="14" t="n"/>
      <c r="H477" s="14" t="n"/>
      <c r="I477" s="21" t="n"/>
      <c r="J477" s="21" t="n"/>
      <c r="M477">
        <f>IF(G477="","",IF(G477&gt;=500,"Platinum",IF(G477&gt;=300,"Gold",IF(G477&gt;=100,"Silver","Bronze"))))</f>
        <v/>
      </c>
      <c r="N477" s="26">
        <f>IF(J477="","",TODAY()-J477)</f>
        <v/>
      </c>
    </row>
    <row r="478">
      <c r="G478" s="14" t="n"/>
      <c r="H478" s="14" t="n"/>
      <c r="I478" s="21" t="n"/>
      <c r="J478" s="21" t="n"/>
      <c r="M478">
        <f>IF(G478="","",IF(G478&gt;=500,"Platinum",IF(G478&gt;=300,"Gold",IF(G478&gt;=100,"Silver","Bronze"))))</f>
        <v/>
      </c>
      <c r="N478" s="26">
        <f>IF(J478="","",TODAY()-J478)</f>
        <v/>
      </c>
    </row>
    <row r="479">
      <c r="G479" s="14" t="n"/>
      <c r="H479" s="14" t="n"/>
      <c r="I479" s="21" t="n"/>
      <c r="J479" s="21" t="n"/>
      <c r="M479">
        <f>IF(G479="","",IF(G479&gt;=500,"Platinum",IF(G479&gt;=300,"Gold",IF(G479&gt;=100,"Silver","Bronze"))))</f>
        <v/>
      </c>
      <c r="N479" s="26">
        <f>IF(J479="","",TODAY()-J479)</f>
        <v/>
      </c>
    </row>
    <row r="480">
      <c r="G480" s="14" t="n"/>
      <c r="H480" s="14" t="n"/>
      <c r="I480" s="21" t="n"/>
      <c r="J480" s="21" t="n"/>
      <c r="M480">
        <f>IF(G480="","",IF(G480&gt;=500,"Platinum",IF(G480&gt;=300,"Gold",IF(G480&gt;=100,"Silver","Bronze"))))</f>
        <v/>
      </c>
      <c r="N480" s="26">
        <f>IF(J480="","",TODAY()-J480)</f>
        <v/>
      </c>
    </row>
    <row r="481">
      <c r="G481" s="14" t="n"/>
      <c r="H481" s="14" t="n"/>
      <c r="I481" s="21" t="n"/>
      <c r="J481" s="21" t="n"/>
      <c r="M481">
        <f>IF(G481="","",IF(G481&gt;=500,"Platinum",IF(G481&gt;=300,"Gold",IF(G481&gt;=100,"Silver","Bronze"))))</f>
        <v/>
      </c>
      <c r="N481" s="26">
        <f>IF(J481="","",TODAY()-J481)</f>
        <v/>
      </c>
    </row>
    <row r="482">
      <c r="G482" s="14" t="n"/>
      <c r="H482" s="14" t="n"/>
      <c r="I482" s="21" t="n"/>
      <c r="J482" s="21" t="n"/>
      <c r="M482">
        <f>IF(G482="","",IF(G482&gt;=500,"Platinum",IF(G482&gt;=300,"Gold",IF(G482&gt;=100,"Silver","Bronze"))))</f>
        <v/>
      </c>
      <c r="N482" s="26">
        <f>IF(J482="","",TODAY()-J482)</f>
        <v/>
      </c>
    </row>
    <row r="483">
      <c r="G483" s="14" t="n"/>
      <c r="H483" s="14" t="n"/>
      <c r="I483" s="21" t="n"/>
      <c r="J483" s="21" t="n"/>
      <c r="M483">
        <f>IF(G483="","",IF(G483&gt;=500,"Platinum",IF(G483&gt;=300,"Gold",IF(G483&gt;=100,"Silver","Bronze"))))</f>
        <v/>
      </c>
      <c r="N483" s="26">
        <f>IF(J483="","",TODAY()-J483)</f>
        <v/>
      </c>
    </row>
    <row r="484">
      <c r="G484" s="14" t="n"/>
      <c r="H484" s="14" t="n"/>
      <c r="I484" s="21" t="n"/>
      <c r="J484" s="21" t="n"/>
      <c r="M484">
        <f>IF(G484="","",IF(G484&gt;=500,"Platinum",IF(G484&gt;=300,"Gold",IF(G484&gt;=100,"Silver","Bronze"))))</f>
        <v/>
      </c>
      <c r="N484" s="26">
        <f>IF(J484="","",TODAY()-J484)</f>
        <v/>
      </c>
    </row>
    <row r="485">
      <c r="G485" s="14" t="n"/>
      <c r="H485" s="14" t="n"/>
      <c r="I485" s="21" t="n"/>
      <c r="J485" s="21" t="n"/>
      <c r="M485">
        <f>IF(G485="","",IF(G485&gt;=500,"Platinum",IF(G485&gt;=300,"Gold",IF(G485&gt;=100,"Silver","Bronze"))))</f>
        <v/>
      </c>
      <c r="N485" s="26">
        <f>IF(J485="","",TODAY()-J485)</f>
        <v/>
      </c>
    </row>
    <row r="486">
      <c r="G486" s="14" t="n"/>
      <c r="H486" s="14" t="n"/>
      <c r="I486" s="21" t="n"/>
      <c r="J486" s="21" t="n"/>
      <c r="M486">
        <f>IF(G486="","",IF(G486&gt;=500,"Platinum",IF(G486&gt;=300,"Gold",IF(G486&gt;=100,"Silver","Bronze"))))</f>
        <v/>
      </c>
      <c r="N486" s="26">
        <f>IF(J486="","",TODAY()-J486)</f>
        <v/>
      </c>
    </row>
    <row r="487">
      <c r="G487" s="14" t="n"/>
      <c r="H487" s="14" t="n"/>
      <c r="I487" s="21" t="n"/>
      <c r="J487" s="21" t="n"/>
      <c r="M487">
        <f>IF(G487="","",IF(G487&gt;=500,"Platinum",IF(G487&gt;=300,"Gold",IF(G487&gt;=100,"Silver","Bronze"))))</f>
        <v/>
      </c>
      <c r="N487" s="26">
        <f>IF(J487="","",TODAY()-J487)</f>
        <v/>
      </c>
    </row>
    <row r="488">
      <c r="G488" s="14" t="n"/>
      <c r="H488" s="14" t="n"/>
      <c r="I488" s="21" t="n"/>
      <c r="J488" s="21" t="n"/>
      <c r="M488">
        <f>IF(G488="","",IF(G488&gt;=500,"Platinum",IF(G488&gt;=300,"Gold",IF(G488&gt;=100,"Silver","Bronze"))))</f>
        <v/>
      </c>
      <c r="N488" s="26">
        <f>IF(J488="","",TODAY()-J488)</f>
        <v/>
      </c>
    </row>
    <row r="489">
      <c r="G489" s="14" t="n"/>
      <c r="H489" s="14" t="n"/>
      <c r="I489" s="21" t="n"/>
      <c r="J489" s="21" t="n"/>
      <c r="M489">
        <f>IF(G489="","",IF(G489&gt;=500,"Platinum",IF(G489&gt;=300,"Gold",IF(G489&gt;=100,"Silver","Bronze"))))</f>
        <v/>
      </c>
      <c r="N489" s="26">
        <f>IF(J489="","",TODAY()-J489)</f>
        <v/>
      </c>
    </row>
    <row r="490">
      <c r="G490" s="14" t="n"/>
      <c r="H490" s="14" t="n"/>
      <c r="I490" s="21" t="n"/>
      <c r="J490" s="21" t="n"/>
      <c r="M490">
        <f>IF(G490="","",IF(G490&gt;=500,"Platinum",IF(G490&gt;=300,"Gold",IF(G490&gt;=100,"Silver","Bronze"))))</f>
        <v/>
      </c>
      <c r="N490" s="26">
        <f>IF(J490="","",TODAY()-J490)</f>
        <v/>
      </c>
    </row>
    <row r="491">
      <c r="G491" s="14" t="n"/>
      <c r="H491" s="14" t="n"/>
      <c r="I491" s="21" t="n"/>
      <c r="J491" s="21" t="n"/>
      <c r="M491">
        <f>IF(G491="","",IF(G491&gt;=500,"Platinum",IF(G491&gt;=300,"Gold",IF(G491&gt;=100,"Silver","Bronze"))))</f>
        <v/>
      </c>
      <c r="N491" s="26">
        <f>IF(J491="","",TODAY()-J491)</f>
        <v/>
      </c>
    </row>
    <row r="492">
      <c r="G492" s="14" t="n"/>
      <c r="H492" s="14" t="n"/>
      <c r="I492" s="21" t="n"/>
      <c r="J492" s="21" t="n"/>
      <c r="M492">
        <f>IF(G492="","",IF(G492&gt;=500,"Platinum",IF(G492&gt;=300,"Gold",IF(G492&gt;=100,"Silver","Bronze"))))</f>
        <v/>
      </c>
      <c r="N492" s="26">
        <f>IF(J492="","",TODAY()-J492)</f>
        <v/>
      </c>
    </row>
    <row r="493">
      <c r="G493" s="14" t="n"/>
      <c r="H493" s="14" t="n"/>
      <c r="I493" s="21" t="n"/>
      <c r="J493" s="21" t="n"/>
      <c r="M493">
        <f>IF(G493="","",IF(G493&gt;=500,"Platinum",IF(G493&gt;=300,"Gold",IF(G493&gt;=100,"Silver","Bronze"))))</f>
        <v/>
      </c>
      <c r="N493" s="26">
        <f>IF(J493="","",TODAY()-J493)</f>
        <v/>
      </c>
    </row>
    <row r="494">
      <c r="G494" s="14" t="n"/>
      <c r="H494" s="14" t="n"/>
      <c r="I494" s="21" t="n"/>
      <c r="J494" s="21" t="n"/>
      <c r="M494">
        <f>IF(G494="","",IF(G494&gt;=500,"Platinum",IF(G494&gt;=300,"Gold",IF(G494&gt;=100,"Silver","Bronze"))))</f>
        <v/>
      </c>
      <c r="N494" s="26">
        <f>IF(J494="","",TODAY()-J494)</f>
        <v/>
      </c>
    </row>
    <row r="495">
      <c r="G495" s="14" t="n"/>
      <c r="H495" s="14" t="n"/>
      <c r="I495" s="21" t="n"/>
      <c r="J495" s="21" t="n"/>
      <c r="M495">
        <f>IF(G495="","",IF(G495&gt;=500,"Platinum",IF(G495&gt;=300,"Gold",IF(G495&gt;=100,"Silver","Bronze"))))</f>
        <v/>
      </c>
      <c r="N495" s="26">
        <f>IF(J495="","",TODAY()-J495)</f>
        <v/>
      </c>
    </row>
    <row r="496">
      <c r="G496" s="14" t="n"/>
      <c r="H496" s="14" t="n"/>
      <c r="I496" s="21" t="n"/>
      <c r="J496" s="21" t="n"/>
      <c r="M496">
        <f>IF(G496="","",IF(G496&gt;=500,"Platinum",IF(G496&gt;=300,"Gold",IF(G496&gt;=100,"Silver","Bronze"))))</f>
        <v/>
      </c>
      <c r="N496" s="26">
        <f>IF(J496="","",TODAY()-J496)</f>
        <v/>
      </c>
    </row>
    <row r="497">
      <c r="G497" s="14" t="n"/>
      <c r="H497" s="14" t="n"/>
      <c r="I497" s="21" t="n"/>
      <c r="J497" s="21" t="n"/>
      <c r="M497">
        <f>IF(G497="","",IF(G497&gt;=500,"Platinum",IF(G497&gt;=300,"Gold",IF(G497&gt;=100,"Silver","Bronze"))))</f>
        <v/>
      </c>
      <c r="N497" s="26">
        <f>IF(J497="","",TODAY()-J497)</f>
        <v/>
      </c>
    </row>
    <row r="498">
      <c r="G498" s="14" t="n"/>
      <c r="H498" s="14" t="n"/>
      <c r="I498" s="21" t="n"/>
      <c r="J498" s="21" t="n"/>
      <c r="M498">
        <f>IF(G498="","",IF(G498&gt;=500,"Platinum",IF(G498&gt;=300,"Gold",IF(G498&gt;=100,"Silver","Bronze"))))</f>
        <v/>
      </c>
      <c r="N498" s="26">
        <f>IF(J498="","",TODAY()-J498)</f>
        <v/>
      </c>
    </row>
    <row r="499">
      <c r="G499" s="14" t="n"/>
      <c r="H499" s="14" t="n"/>
      <c r="I499" s="21" t="n"/>
      <c r="J499" s="21" t="n"/>
      <c r="M499">
        <f>IF(G499="","",IF(G499&gt;=500,"Platinum",IF(G499&gt;=300,"Gold",IF(G499&gt;=100,"Silver","Bronze"))))</f>
        <v/>
      </c>
      <c r="N499" s="26">
        <f>IF(J499="","",TODAY()-J499)</f>
        <v/>
      </c>
    </row>
    <row r="500">
      <c r="G500" s="14" t="n"/>
      <c r="H500" s="14" t="n"/>
      <c r="I500" s="21" t="n"/>
      <c r="J500" s="21" t="n"/>
      <c r="M500">
        <f>IF(G500="","",IF(G500&gt;=500,"Platinum",IF(G500&gt;=300,"Gold",IF(G500&gt;=100,"Silver","Bronze"))))</f>
        <v/>
      </c>
      <c r="N500" s="26">
        <f>IF(J500="","",TODAY()-J500)</f>
        <v/>
      </c>
    </row>
    <row r="501">
      <c r="G501" s="14" t="n"/>
      <c r="H501" s="14" t="n"/>
      <c r="I501" s="21" t="n"/>
      <c r="J501" s="21" t="n"/>
      <c r="M501">
        <f>IF(G501="","",IF(G501&gt;=500,"Platinum",IF(G501&gt;=300,"Gold",IF(G501&gt;=100,"Silver","Bronze"))))</f>
        <v/>
      </c>
      <c r="N501" s="26">
        <f>IF(J501="","",TODAY()-J501)</f>
        <v/>
      </c>
    </row>
    <row r="502">
      <c r="G502" s="14" t="n"/>
      <c r="H502" s="14" t="n"/>
      <c r="I502" s="21" t="n"/>
      <c r="J502" s="21" t="n"/>
      <c r="M502">
        <f>IF(G502="","",IF(G502&gt;=500,"Platinum",IF(G502&gt;=300,"Gold",IF(G502&gt;=100,"Silver","Bronze"))))</f>
        <v/>
      </c>
      <c r="N502" s="26">
        <f>IF(J502="","",TODAY()-J502)</f>
        <v/>
      </c>
    </row>
    <row r="505">
      <c r="A505" s="19" t="inlineStr">
        <is>
          <t>TIER THRESHOLDS: Bronze £0–£99 | Silver £100–£299 | Gold £300–£499 | Platinum £500+</t>
        </is>
      </c>
    </row>
  </sheetData>
  <autoFilter ref="A2:N2"/>
  <mergeCells count="2">
    <mergeCell ref="A505:N505"/>
    <mergeCell ref="A1:N1"/>
  </mergeCells>
  <conditionalFormatting sqref="M3:M502">
    <cfRule type="expression" priority="1" dxfId="7">
      <formula>$M3="Platinum"</formula>
    </cfRule>
    <cfRule type="expression" priority="2" dxfId="8">
      <formula>$M3="Gold"</formula>
    </cfRule>
    <cfRule type="expression" priority="3" dxfId="9">
      <formula>$M3="Silver"</formula>
    </cfRule>
    <cfRule type="expression" priority="4" dxfId="10">
      <formula>$M3="Bronze"</formula>
    </cfRule>
  </conditionalFormatting>
  <conditionalFormatting sqref="N3:N502">
    <cfRule type="cellIs" priority="5" operator="greaterThan" dxfId="11">
      <formula>60</formula>
    </cfRule>
  </conditionalFormatting>
  <dataValidations count="2">
    <dataValidation sqref="E3:E1002" showDropDown="0" showInputMessage="0" showErrorMessage="0" allowBlank="1" type="list">
      <formula1>"UK,EU"</formula1>
    </dataValidation>
    <dataValidation sqref="M3:M1002" showDropDown="0" showInputMessage="0" showErrorMessage="0" allowBlank="1" type="list">
      <formula1>"Bronze,Silver,Gold,Platinum"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N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CRP Labs Ltd — Velox Peptides  |  Monthly P&amp;L  |  17/05/2026</t>
        </is>
      </c>
    </row>
    <row r="2" ht="22" customHeight="1">
      <c r="A2" s="5" t="inlineStr">
        <is>
          <t>Metric</t>
        </is>
      </c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  <c r="N2" s="2" t="inlineStr">
        <is>
          <t>YTD Total</t>
        </is>
      </c>
    </row>
    <row r="3" ht="18" customHeight="1">
      <c r="A3" s="2" t="inlineStr">
        <is>
          <t>REVENUE</t>
        </is>
      </c>
    </row>
    <row r="4">
      <c r="A4" s="27" t="inlineStr">
        <is>
          <t>Gross Revenue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8" t="n">
        <v>0</v>
      </c>
      <c r="K4" s="28" t="n">
        <v>0</v>
      </c>
      <c r="L4" s="28" t="n">
        <v>0</v>
      </c>
      <c r="M4" s="28" t="n">
        <v>0</v>
      </c>
      <c r="N4" s="29">
        <f>SUM(B4:M4)</f>
        <v/>
      </c>
    </row>
    <row r="5">
      <c r="A5" s="27" t="inlineStr">
        <is>
          <t>Delivery Income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0</v>
      </c>
      <c r="L5" s="28" t="n">
        <v>0</v>
      </c>
      <c r="M5" s="28" t="n">
        <v>0</v>
      </c>
      <c r="N5" s="29">
        <f>SUM(B5:M5)</f>
        <v/>
      </c>
    </row>
    <row r="6">
      <c r="A6" s="27" t="inlineStr">
        <is>
          <t>Discount Given</t>
        </is>
      </c>
      <c r="B6" s="28" t="n">
        <v>0</v>
      </c>
      <c r="C6" s="28" t="n">
        <v>0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9">
        <f>SUM(B6:M6)</f>
        <v/>
      </c>
    </row>
    <row r="7">
      <c r="A7" s="13" t="inlineStr">
        <is>
          <t>Net Revenue</t>
        </is>
      </c>
      <c r="B7" s="7">
        <f>B4+B5-B6</f>
        <v/>
      </c>
      <c r="C7" s="7">
        <f>C4+C5-C6</f>
        <v/>
      </c>
      <c r="D7" s="7">
        <f>D4+D5-D6</f>
        <v/>
      </c>
      <c r="E7" s="7">
        <f>E4+E5-E6</f>
        <v/>
      </c>
      <c r="F7" s="7">
        <f>F4+F5-F6</f>
        <v/>
      </c>
      <c r="G7" s="7">
        <f>G4+G5-G6</f>
        <v/>
      </c>
      <c r="H7" s="7">
        <f>H4+H5-H6</f>
        <v/>
      </c>
      <c r="I7" s="7">
        <f>I4+I5-I6</f>
        <v/>
      </c>
      <c r="J7" s="7">
        <f>J4+J5-J6</f>
        <v/>
      </c>
      <c r="K7" s="7">
        <f>K4+K5-K6</f>
        <v/>
      </c>
      <c r="L7" s="7">
        <f>L4+L5-L6</f>
        <v/>
      </c>
      <c r="M7" s="7">
        <f>M4+M5-M6</f>
        <v/>
      </c>
      <c r="N7" s="14">
        <f>SUM(B7:M7)</f>
        <v/>
      </c>
    </row>
    <row r="8" ht="18" customHeight="1">
      <c r="A8" s="2" t="inlineStr">
        <is>
          <t>COST OF SALES</t>
        </is>
      </c>
    </row>
    <row r="9">
      <c r="A9" s="27" t="inlineStr">
        <is>
          <t>Cost of Goods</t>
        </is>
      </c>
      <c r="B9" s="28" t="n">
        <v>0</v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9">
        <f>SUM(B9:M9)</f>
        <v/>
      </c>
    </row>
    <row r="10">
      <c r="A10" s="27" t="inlineStr">
        <is>
          <t>Packaging Costs</t>
        </is>
      </c>
      <c r="B10" s="28" t="n">
        <v>0</v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9">
        <f>SUM(B10:M10)</f>
        <v/>
      </c>
    </row>
    <row r="11">
      <c r="A11" s="27" t="inlineStr">
        <is>
          <t>Label Costs</t>
        </is>
      </c>
      <c r="B11" s="28" t="n">
        <v>0</v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9">
        <f>SUM(B11:M11)</f>
        <v/>
      </c>
    </row>
    <row r="12">
      <c r="A12" s="13" t="inlineStr">
        <is>
          <t>Gross Profit</t>
        </is>
      </c>
      <c r="B12" s="7">
        <f>B7-B9-B10-B11</f>
        <v/>
      </c>
      <c r="C12" s="7">
        <f>C7-C9-C10-C11</f>
        <v/>
      </c>
      <c r="D12" s="7">
        <f>D7-D9-D10-D11</f>
        <v/>
      </c>
      <c r="E12" s="7">
        <f>E7-E9-E10-E11</f>
        <v/>
      </c>
      <c r="F12" s="7">
        <f>F7-F9-F10-F11</f>
        <v/>
      </c>
      <c r="G12" s="7">
        <f>G7-G9-G10-G11</f>
        <v/>
      </c>
      <c r="H12" s="7">
        <f>H7-H9-H10-H11</f>
        <v/>
      </c>
      <c r="I12" s="7">
        <f>I7-I9-I10-I11</f>
        <v/>
      </c>
      <c r="J12" s="7">
        <f>J7-J9-J10-J11</f>
        <v/>
      </c>
      <c r="K12" s="7">
        <f>K7-K9-K10-K11</f>
        <v/>
      </c>
      <c r="L12" s="7">
        <f>L7-L9-L10-L11</f>
        <v/>
      </c>
      <c r="M12" s="7">
        <f>M7-M9-M10-M11</f>
        <v/>
      </c>
      <c r="N12" s="14">
        <f>SUM(B12:M12)</f>
        <v/>
      </c>
    </row>
    <row r="13">
      <c r="A13" s="8" t="inlineStr">
        <is>
          <t>Gross Margin %</t>
        </is>
      </c>
      <c r="B13" s="30">
        <f>IF(B7=0,0,B12/B7)</f>
        <v/>
      </c>
      <c r="C13" s="30">
        <f>IF(C7=0,0,C12/C7)</f>
        <v/>
      </c>
      <c r="D13" s="30">
        <f>IF(D7=0,0,D12/D7)</f>
        <v/>
      </c>
      <c r="E13" s="30">
        <f>IF(E7=0,0,E12/E7)</f>
        <v/>
      </c>
      <c r="F13" s="30">
        <f>IF(F7=0,0,F12/F7)</f>
        <v/>
      </c>
      <c r="G13" s="30">
        <f>IF(G7=0,0,G12/G7)</f>
        <v/>
      </c>
      <c r="H13" s="30">
        <f>IF(H7=0,0,H12/H7)</f>
        <v/>
      </c>
      <c r="I13" s="30">
        <f>IF(I7=0,0,I12/I7)</f>
        <v/>
      </c>
      <c r="J13" s="30">
        <f>IF(J7=0,0,J12/J7)</f>
        <v/>
      </c>
      <c r="K13" s="30">
        <f>IF(K7=0,0,K12/K7)</f>
        <v/>
      </c>
      <c r="L13" s="30">
        <f>IF(L7=0,0,L12/L7)</f>
        <v/>
      </c>
      <c r="M13" s="30">
        <f>IF(M7=0,0,M12/M7)</f>
        <v/>
      </c>
      <c r="N13" s="15">
        <f>IF(N7=0,0,N12/N7)</f>
        <v/>
      </c>
    </row>
    <row r="14" ht="18" customHeight="1">
      <c r="A14" s="2" t="inlineStr">
        <is>
          <t>OPERATING EXPENSES</t>
        </is>
      </c>
    </row>
    <row r="15">
      <c r="A15" s="27" t="inlineStr">
        <is>
          <t>GoCardless Fees</t>
        </is>
      </c>
      <c r="B15" s="28" t="n">
        <v>0</v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9">
        <f>SUM(B15:M15)</f>
        <v/>
      </c>
    </row>
    <row r="16">
      <c r="A16" s="27" t="inlineStr">
        <is>
          <t>PsiFi Fees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  <c r="M16" s="28" t="n">
        <v>0</v>
      </c>
      <c r="N16" s="29">
        <f>SUM(B16:M16)</f>
        <v/>
      </c>
    </row>
    <row r="17">
      <c r="A17" s="27" t="inlineStr">
        <is>
          <t>Subscription Costs</t>
        </is>
      </c>
      <c r="B17" s="28" t="n">
        <v>0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9">
        <f>SUM(B17:M17)</f>
        <v/>
      </c>
    </row>
    <row r="18">
      <c r="A18" s="27" t="inlineStr">
        <is>
          <t>One-Off Costs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9">
        <f>SUM(B18:M18)</f>
        <v/>
      </c>
    </row>
    <row r="19" ht="18" customHeight="1">
      <c r="A19" s="2" t="inlineStr">
        <is>
          <t>NET PROFIT</t>
        </is>
      </c>
    </row>
    <row r="20">
      <c r="A20" s="31" t="inlineStr">
        <is>
          <t>Net Profit</t>
        </is>
      </c>
      <c r="B20" s="32">
        <f>B12-B15-B16-B17-B18</f>
        <v/>
      </c>
      <c r="C20" s="32">
        <f>C12-C15-C16-C17-C18</f>
        <v/>
      </c>
      <c r="D20" s="32">
        <f>D12-D15-D16-D17-D18</f>
        <v/>
      </c>
      <c r="E20" s="32">
        <f>E12-E15-E16-E17-E18</f>
        <v/>
      </c>
      <c r="F20" s="32">
        <f>F12-F15-F16-F17-F18</f>
        <v/>
      </c>
      <c r="G20" s="32">
        <f>G12-G15-G16-G17-G18</f>
        <v/>
      </c>
      <c r="H20" s="32">
        <f>H12-H15-H16-H17-H18</f>
        <v/>
      </c>
      <c r="I20" s="32">
        <f>I12-I15-I16-I17-I18</f>
        <v/>
      </c>
      <c r="J20" s="32">
        <f>J12-J15-J16-J17-J18</f>
        <v/>
      </c>
      <c r="K20" s="32">
        <f>K12-K15-K16-K17-K18</f>
        <v/>
      </c>
      <c r="L20" s="32">
        <f>L12-L15-L16-L17-L18</f>
        <v/>
      </c>
      <c r="M20" s="32">
        <f>M12-M15-M16-M17-M18</f>
        <v/>
      </c>
      <c r="N20" s="33">
        <f>SUM(B20:M20)</f>
        <v/>
      </c>
    </row>
    <row r="21">
      <c r="A21" s="8" t="inlineStr">
        <is>
          <t>Net Margin %</t>
        </is>
      </c>
      <c r="B21" s="30">
        <f>IF(B4=0,0,B20/B4)</f>
        <v/>
      </c>
      <c r="C21" s="30">
        <f>IF(C4=0,0,C20/C4)</f>
        <v/>
      </c>
      <c r="D21" s="30">
        <f>IF(D4=0,0,D20/D4)</f>
        <v/>
      </c>
      <c r="E21" s="30">
        <f>IF(E4=0,0,E20/E4)</f>
        <v/>
      </c>
      <c r="F21" s="30">
        <f>IF(F4=0,0,F20/F4)</f>
        <v/>
      </c>
      <c r="G21" s="30">
        <f>IF(G4=0,0,G20/G4)</f>
        <v/>
      </c>
      <c r="H21" s="30">
        <f>IF(H4=0,0,H20/H4)</f>
        <v/>
      </c>
      <c r="I21" s="30">
        <f>IF(I4=0,0,I20/I4)</f>
        <v/>
      </c>
      <c r="J21" s="30">
        <f>IF(J4=0,0,J20/J4)</f>
        <v/>
      </c>
      <c r="K21" s="30">
        <f>IF(K4=0,0,K20/K4)</f>
        <v/>
      </c>
      <c r="L21" s="30">
        <f>IF(L4=0,0,L20/L4)</f>
        <v/>
      </c>
      <c r="M21" s="30">
        <f>IF(M4=0,0,M20/M4)</f>
        <v/>
      </c>
      <c r="N21" s="15">
        <f>IF(N4=0,0,N20/N4)</f>
        <v/>
      </c>
    </row>
    <row r="23">
      <c r="A23" s="19" t="inlineStr">
        <is>
          <t>Note: GoCardless fee = 1% of transaction + £0.20 per transaction. Enter manually.</t>
        </is>
      </c>
    </row>
    <row r="24">
      <c r="A24" s="19" t="inlineStr">
        <is>
          <t>Note: Subscription and One-Off costs should be entered manually or linked to respective sheets.</t>
        </is>
      </c>
    </row>
  </sheetData>
  <mergeCells count="7">
    <mergeCell ref="A8:N8"/>
    <mergeCell ref="A3:N3"/>
    <mergeCell ref="A24:N24"/>
    <mergeCell ref="A19:N19"/>
    <mergeCell ref="A23:N23"/>
    <mergeCell ref="A14:N14"/>
    <mergeCell ref="A1:N1"/>
  </mergeCells>
  <conditionalFormatting sqref="B20:M20">
    <cfRule type="cellIs" priority="1" operator="greaterThan" dxfId="6">
      <formula>0</formula>
    </cfRule>
    <cfRule type="cellIs" priority="2" operator="lessThan" dxfId="1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DC3E6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3" customWidth="1" min="4" max="4"/>
    <col width="14" customWidth="1" min="5" max="5"/>
    <col width="18" customWidth="1" min="6" max="6"/>
    <col width="14" customWidth="1" min="7" max="7"/>
    <col width="12" customWidth="1" min="8" max="8"/>
    <col width="35" customWidth="1" min="9" max="9"/>
  </cols>
  <sheetData>
    <row r="1" ht="22" customHeight="1">
      <c r="A1" s="1" t="inlineStr">
        <is>
          <t>CRP Labs Ltd — Velox Peptides  |  Monthly Subscriptions  |  17/05/2026</t>
        </is>
      </c>
    </row>
    <row r="2" ht="22" customHeight="1">
      <c r="A2" s="5" t="inlineStr">
        <is>
          <t>Service</t>
        </is>
      </c>
      <c r="B2" s="5" t="inlineStr">
        <is>
          <t>Description</t>
        </is>
      </c>
      <c r="C2" s="5" t="inlineStr">
        <is>
          <t>Monthly Cost</t>
        </is>
      </c>
      <c r="D2" s="5" t="inlineStr">
        <is>
          <t>Annual Cost</t>
        </is>
      </c>
      <c r="E2" s="5" t="inlineStr">
        <is>
          <t>Billing Date</t>
        </is>
      </c>
      <c r="F2" s="5" t="inlineStr">
        <is>
          <t>Payment Method</t>
        </is>
      </c>
      <c r="G2" s="5" t="inlineStr">
        <is>
          <t>Category</t>
        </is>
      </c>
      <c r="H2" s="5" t="inlineStr">
        <is>
          <t>Status</t>
        </is>
      </c>
      <c r="I2" s="5" t="inlineStr">
        <is>
          <t>Notes</t>
        </is>
      </c>
    </row>
    <row r="3">
      <c r="A3" s="8" t="inlineStr">
        <is>
          <t>Vercel</t>
        </is>
      </c>
      <c r="B3" s="8" t="inlineStr">
        <is>
          <t>Static site hosting — veloxpeps.com</t>
        </is>
      </c>
      <c r="C3" s="18" t="n">
        <v>0</v>
      </c>
      <c r="D3" s="18" t="n">
        <v>0</v>
      </c>
      <c r="E3" s="8" t="inlineStr">
        <is>
          <t>Monthly</t>
        </is>
      </c>
      <c r="F3" s="8" t="inlineStr">
        <is>
          <t>Card</t>
        </is>
      </c>
      <c r="G3" s="8" t="inlineStr">
        <is>
          <t>Hosting</t>
        </is>
      </c>
      <c r="H3" s="34" t="inlineStr">
        <is>
          <t>Active</t>
        </is>
      </c>
      <c r="I3" s="8" t="inlineStr">
        <is>
          <t>Free hobby plan</t>
        </is>
      </c>
    </row>
    <row r="4">
      <c r="A4" s="8" t="inlineStr">
        <is>
          <t>Resend</t>
        </is>
      </c>
      <c r="B4" s="8" t="inlineStr">
        <is>
          <t>Transactional email (orders@veloxpeps.com)</t>
        </is>
      </c>
      <c r="C4" s="18" t="n">
        <v>0</v>
      </c>
      <c r="D4" s="18" t="n">
        <v>0</v>
      </c>
      <c r="E4" s="8" t="inlineStr">
        <is>
          <t>Monthly</t>
        </is>
      </c>
      <c r="F4" s="8" t="inlineStr">
        <is>
          <t>Card</t>
        </is>
      </c>
      <c r="G4" s="8" t="inlineStr">
        <is>
          <t>Tools</t>
        </is>
      </c>
      <c r="H4" s="34" t="inlineStr">
        <is>
          <t>Active</t>
        </is>
      </c>
      <c r="I4" s="8" t="inlineStr">
        <is>
          <t>Free tier — 100 emails/day</t>
        </is>
      </c>
    </row>
    <row r="5">
      <c r="A5" s="8" t="inlineStr">
        <is>
          <t>GitHub</t>
        </is>
      </c>
      <c r="B5" s="8" t="inlineStr">
        <is>
          <t>Code repository</t>
        </is>
      </c>
      <c r="C5" s="18" t="n">
        <v>0</v>
      </c>
      <c r="D5" s="18" t="n">
        <v>0</v>
      </c>
      <c r="E5" s="8" t="inlineStr">
        <is>
          <t>Monthly</t>
        </is>
      </c>
      <c r="F5" s="8" t="inlineStr">
        <is>
          <t>Card</t>
        </is>
      </c>
      <c r="G5" s="8" t="inlineStr">
        <is>
          <t>Tools</t>
        </is>
      </c>
      <c r="H5" s="34" t="inlineStr">
        <is>
          <t>Active</t>
        </is>
      </c>
      <c r="I5" s="8" t="inlineStr">
        <is>
          <t>Free plan</t>
        </is>
      </c>
    </row>
    <row r="6">
      <c r="A6" s="8" t="inlineStr">
        <is>
          <t>GoCardless</t>
        </is>
      </c>
      <c r="B6" s="8" t="inlineStr">
        <is>
          <t>Instant Bank Pay processing</t>
        </is>
      </c>
      <c r="C6" s="18" t="n">
        <v>0</v>
      </c>
      <c r="D6" s="18" t="n">
        <v>0</v>
      </c>
      <c r="E6" s="8" t="inlineStr">
        <is>
          <t>Per txn</t>
        </is>
      </c>
      <c r="F6" s="8" t="inlineStr"/>
      <c r="G6" s="8" t="inlineStr">
        <is>
          <t>Payments</t>
        </is>
      </c>
      <c r="H6" s="34" t="inlineStr">
        <is>
          <t>Active</t>
        </is>
      </c>
      <c r="I6" s="8" t="inlineStr">
        <is>
          <t>1% + £0.20 per transaction — no monthly fee</t>
        </is>
      </c>
    </row>
    <row r="7">
      <c r="A7" s="8" t="inlineStr">
        <is>
          <t>PsiFi</t>
        </is>
      </c>
      <c r="B7" s="8" t="inlineStr">
        <is>
          <t>Card / Apple Pay / Google Pay processing</t>
        </is>
      </c>
      <c r="C7" s="18" t="n">
        <v>0</v>
      </c>
      <c r="D7" s="18" t="n">
        <v>0</v>
      </c>
      <c r="E7" s="8" t="inlineStr">
        <is>
          <t>Per txn</t>
        </is>
      </c>
      <c r="F7" s="8" t="inlineStr"/>
      <c r="G7" s="8" t="inlineStr">
        <is>
          <t>Payments</t>
        </is>
      </c>
      <c r="H7" s="34" t="inlineStr">
        <is>
          <t>Active</t>
        </is>
      </c>
      <c r="I7" s="8" t="inlineStr">
        <is>
          <t>Per-transaction fees only</t>
        </is>
      </c>
    </row>
    <row r="8">
      <c r="A8" s="8" t="inlineStr">
        <is>
          <t>veloxpeps.com</t>
        </is>
      </c>
      <c r="B8" s="8" t="inlineStr">
        <is>
          <t>Annual domain renewal</t>
        </is>
      </c>
      <c r="C8" s="18" t="n">
        <v>1</v>
      </c>
      <c r="D8" s="18" t="n">
        <v>12</v>
      </c>
      <c r="E8" s="8" t="inlineStr">
        <is>
          <t>Annual</t>
        </is>
      </c>
      <c r="F8" s="8" t="inlineStr">
        <is>
          <t>Card</t>
        </is>
      </c>
      <c r="G8" s="8" t="inlineStr">
        <is>
          <t>Hosting</t>
        </is>
      </c>
      <c r="H8" s="34" t="inlineStr">
        <is>
          <t>Active</t>
        </is>
      </c>
      <c r="I8" s="8" t="inlineStr">
        <is>
          <t>Estimate £12/year</t>
        </is>
      </c>
    </row>
    <row r="9">
      <c r="A9" t="inlineStr"/>
      <c r="B9" t="inlineStr"/>
      <c r="C9" s="14" t="inlineStr"/>
      <c r="D9" s="14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s="14" t="inlineStr"/>
      <c r="D10" s="14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s="14" t="inlineStr"/>
      <c r="D11" s="14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s="14" t="inlineStr"/>
      <c r="D12" s="14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s="14" t="inlineStr"/>
      <c r="D13" s="14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s="14" t="inlineStr"/>
      <c r="D14" s="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s="14" t="inlineStr"/>
      <c r="D15" s="14" t="inlineStr"/>
      <c r="E15" t="inlineStr"/>
      <c r="F15" t="inlineStr"/>
      <c r="G15" t="inlineStr"/>
      <c r="H15" t="inlineStr"/>
      <c r="I15" t="inlineStr"/>
    </row>
    <row r="16" ht="18" customHeight="1">
      <c r="A16" s="23" t="inlineStr">
        <is>
          <t>TOTAL MONTHLY COST</t>
        </is>
      </c>
      <c r="C16" s="16">
        <f>SUM(C3:C15)</f>
        <v/>
      </c>
      <c r="D16" s="16">
        <f>SUM(D3:D15)</f>
        <v/>
      </c>
    </row>
  </sheetData>
  <autoFilter ref="A2:I2"/>
  <mergeCells count="1">
    <mergeCell ref="A1:I1"/>
  </mergeCells>
  <dataValidations count="2">
    <dataValidation sqref="G3:G1002" showDropDown="0" showInputMessage="0" showErrorMessage="0" allowBlank="1" type="list">
      <formula1>"Hosting,Payments,Marketing,Tools,Legal,Other"</formula1>
    </dataValidation>
    <dataValidation sqref="H3:H1002" showDropDown="0" showInputMessage="0" showErrorMessage="0" allowBlank="1" type="list">
      <formula1>"Active,Cancelled,Paused"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4B942"/>
    <outlinePr summaryBelow="1" summaryRight="1"/>
    <pageSetUpPr/>
  </sheetPr>
  <dimension ref="A1:H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30" customWidth="1" min="8" max="8"/>
  </cols>
  <sheetData>
    <row r="1" ht="22" customHeight="1">
      <c r="A1" s="1" t="inlineStr">
        <is>
          <t>CRP Labs Ltd — Velox Peptides  |  One-Off Costs  |  17/05/2026</t>
        </is>
      </c>
    </row>
    <row r="2" ht="22" customHeight="1">
      <c r="A2" s="5" t="inlineStr">
        <is>
          <t>Date</t>
        </is>
      </c>
      <c r="B2" s="5" t="inlineStr">
        <is>
          <t>Description</t>
        </is>
      </c>
      <c r="C2" s="5" t="inlineStr">
        <is>
          <t>Amount</t>
        </is>
      </c>
      <c r="D2" s="5" t="inlineStr">
        <is>
          <t>Category</t>
        </is>
      </c>
      <c r="E2" s="5" t="inlineStr">
        <is>
          <t>Payment Method</t>
        </is>
      </c>
      <c r="F2" s="5" t="inlineStr">
        <is>
          <t>Receipt Reference</t>
        </is>
      </c>
      <c r="G2" s="5" t="inlineStr">
        <is>
          <t>Month</t>
        </is>
      </c>
      <c r="H2" s="5" t="inlineStr">
        <is>
          <t>Notes</t>
        </is>
      </c>
    </row>
    <row r="3">
      <c r="A3" s="21" t="n"/>
      <c r="C3" s="14" t="n"/>
      <c r="G3">
        <f>IF(A3="","",TEXT(A3,"MMM YYYY"))</f>
        <v/>
      </c>
    </row>
    <row r="4">
      <c r="A4" s="21" t="n"/>
      <c r="C4" s="14" t="n"/>
      <c r="G4">
        <f>IF(A4="","",TEXT(A4,"MMM YYYY"))</f>
        <v/>
      </c>
    </row>
    <row r="5">
      <c r="A5" s="21" t="n"/>
      <c r="C5" s="14" t="n"/>
      <c r="G5">
        <f>IF(A5="","",TEXT(A5,"MMM YYYY"))</f>
        <v/>
      </c>
    </row>
    <row r="6">
      <c r="A6" s="21" t="n"/>
      <c r="C6" s="14" t="n"/>
      <c r="G6">
        <f>IF(A6="","",TEXT(A6,"MMM YYYY"))</f>
        <v/>
      </c>
    </row>
    <row r="7">
      <c r="A7" s="21" t="n"/>
      <c r="C7" s="14" t="n"/>
      <c r="G7">
        <f>IF(A7="","",TEXT(A7,"MMM YYYY"))</f>
        <v/>
      </c>
    </row>
    <row r="8">
      <c r="A8" s="21" t="n"/>
      <c r="C8" s="14" t="n"/>
      <c r="G8">
        <f>IF(A8="","",TEXT(A8,"MMM YYYY"))</f>
        <v/>
      </c>
    </row>
    <row r="9">
      <c r="A9" s="21" t="n"/>
      <c r="C9" s="14" t="n"/>
      <c r="G9">
        <f>IF(A9="","",TEXT(A9,"MMM YYYY"))</f>
        <v/>
      </c>
    </row>
    <row r="10">
      <c r="A10" s="21" t="n"/>
      <c r="C10" s="14" t="n"/>
      <c r="G10">
        <f>IF(A10="","",TEXT(A10,"MMM YYYY"))</f>
        <v/>
      </c>
    </row>
    <row r="11">
      <c r="A11" s="21" t="n"/>
      <c r="C11" s="14" t="n"/>
      <c r="G11">
        <f>IF(A11="","",TEXT(A11,"MMM YYYY"))</f>
        <v/>
      </c>
    </row>
    <row r="12">
      <c r="A12" s="21" t="n"/>
      <c r="C12" s="14" t="n"/>
      <c r="G12">
        <f>IF(A12="","",TEXT(A12,"MMM YYYY"))</f>
        <v/>
      </c>
    </row>
    <row r="13">
      <c r="A13" s="21" t="n"/>
      <c r="C13" s="14" t="n"/>
      <c r="G13">
        <f>IF(A13="","",TEXT(A13,"MMM YYYY"))</f>
        <v/>
      </c>
    </row>
    <row r="14">
      <c r="A14" s="21" t="n"/>
      <c r="C14" s="14" t="n"/>
      <c r="G14">
        <f>IF(A14="","",TEXT(A14,"MMM YYYY"))</f>
        <v/>
      </c>
    </row>
    <row r="15">
      <c r="A15" s="21" t="n"/>
      <c r="C15" s="14" t="n"/>
      <c r="G15">
        <f>IF(A15="","",TEXT(A15,"MMM YYYY"))</f>
        <v/>
      </c>
    </row>
    <row r="16">
      <c r="A16" s="21" t="n"/>
      <c r="C16" s="14" t="n"/>
      <c r="G16">
        <f>IF(A16="","",TEXT(A16,"MMM YYYY"))</f>
        <v/>
      </c>
    </row>
    <row r="17">
      <c r="A17" s="21" t="n"/>
      <c r="C17" s="14" t="n"/>
      <c r="G17">
        <f>IF(A17="","",TEXT(A17,"MMM YYYY"))</f>
        <v/>
      </c>
    </row>
    <row r="18">
      <c r="A18" s="21" t="n"/>
      <c r="C18" s="14" t="n"/>
      <c r="G18">
        <f>IF(A18="","",TEXT(A18,"MMM YYYY"))</f>
        <v/>
      </c>
    </row>
    <row r="19">
      <c r="A19" s="21" t="n"/>
      <c r="C19" s="14" t="n"/>
      <c r="G19">
        <f>IF(A19="","",TEXT(A19,"MMM YYYY"))</f>
        <v/>
      </c>
    </row>
    <row r="20">
      <c r="A20" s="21" t="n"/>
      <c r="C20" s="14" t="n"/>
      <c r="G20">
        <f>IF(A20="","",TEXT(A20,"MMM YYYY"))</f>
        <v/>
      </c>
    </row>
    <row r="21">
      <c r="A21" s="21" t="n"/>
      <c r="C21" s="14" t="n"/>
      <c r="G21">
        <f>IF(A21="","",TEXT(A21,"MMM YYYY"))</f>
        <v/>
      </c>
    </row>
    <row r="22">
      <c r="A22" s="21" t="n"/>
      <c r="C22" s="14" t="n"/>
      <c r="G22">
        <f>IF(A22="","",TEXT(A22,"MMM YYYY"))</f>
        <v/>
      </c>
    </row>
    <row r="23">
      <c r="A23" s="21" t="n"/>
      <c r="C23" s="14" t="n"/>
      <c r="G23">
        <f>IF(A23="","",TEXT(A23,"MMM YYYY"))</f>
        <v/>
      </c>
    </row>
    <row r="24">
      <c r="A24" s="21" t="n"/>
      <c r="C24" s="14" t="n"/>
      <c r="G24">
        <f>IF(A24="","",TEXT(A24,"MMM YYYY"))</f>
        <v/>
      </c>
    </row>
    <row r="25">
      <c r="A25" s="21" t="n"/>
      <c r="C25" s="14" t="n"/>
      <c r="G25">
        <f>IF(A25="","",TEXT(A25,"MMM YYYY"))</f>
        <v/>
      </c>
    </row>
    <row r="26">
      <c r="A26" s="21" t="n"/>
      <c r="C26" s="14" t="n"/>
      <c r="G26">
        <f>IF(A26="","",TEXT(A26,"MMM YYYY"))</f>
        <v/>
      </c>
    </row>
    <row r="27">
      <c r="A27" s="21" t="n"/>
      <c r="C27" s="14" t="n"/>
      <c r="G27">
        <f>IF(A27="","",TEXT(A27,"MMM YYYY"))</f>
        <v/>
      </c>
    </row>
    <row r="28">
      <c r="A28" s="21" t="n"/>
      <c r="C28" s="14" t="n"/>
      <c r="G28">
        <f>IF(A28="","",TEXT(A28,"MMM YYYY"))</f>
        <v/>
      </c>
    </row>
    <row r="29">
      <c r="A29" s="21" t="n"/>
      <c r="C29" s="14" t="n"/>
      <c r="G29">
        <f>IF(A29="","",TEXT(A29,"MMM YYYY"))</f>
        <v/>
      </c>
    </row>
    <row r="30">
      <c r="A30" s="21" t="n"/>
      <c r="C30" s="14" t="n"/>
      <c r="G30">
        <f>IF(A30="","",TEXT(A30,"MMM YYYY"))</f>
        <v/>
      </c>
    </row>
    <row r="31">
      <c r="A31" s="21" t="n"/>
      <c r="C31" s="14" t="n"/>
      <c r="G31">
        <f>IF(A31="","",TEXT(A31,"MMM YYYY"))</f>
        <v/>
      </c>
    </row>
    <row r="32">
      <c r="A32" s="21" t="n"/>
      <c r="C32" s="14" t="n"/>
      <c r="G32">
        <f>IF(A32="","",TEXT(A32,"MMM YYYY"))</f>
        <v/>
      </c>
    </row>
    <row r="33">
      <c r="A33" s="21" t="n"/>
      <c r="C33" s="14" t="n"/>
      <c r="G33">
        <f>IF(A33="","",TEXT(A33,"MMM YYYY"))</f>
        <v/>
      </c>
    </row>
    <row r="34">
      <c r="A34" s="21" t="n"/>
      <c r="C34" s="14" t="n"/>
      <c r="G34">
        <f>IF(A34="","",TEXT(A34,"MMM YYYY"))</f>
        <v/>
      </c>
    </row>
    <row r="35">
      <c r="A35" s="21" t="n"/>
      <c r="C35" s="14" t="n"/>
      <c r="G35">
        <f>IF(A35="","",TEXT(A35,"MMM YYYY"))</f>
        <v/>
      </c>
    </row>
    <row r="36">
      <c r="A36" s="21" t="n"/>
      <c r="C36" s="14" t="n"/>
      <c r="G36">
        <f>IF(A36="","",TEXT(A36,"MMM YYYY"))</f>
        <v/>
      </c>
    </row>
    <row r="37">
      <c r="A37" s="21" t="n"/>
      <c r="C37" s="14" t="n"/>
      <c r="G37">
        <f>IF(A37="","",TEXT(A37,"MMM YYYY"))</f>
        <v/>
      </c>
    </row>
    <row r="38">
      <c r="A38" s="21" t="n"/>
      <c r="C38" s="14" t="n"/>
      <c r="G38">
        <f>IF(A38="","",TEXT(A38,"MMM YYYY"))</f>
        <v/>
      </c>
    </row>
    <row r="39">
      <c r="A39" s="21" t="n"/>
      <c r="C39" s="14" t="n"/>
      <c r="G39">
        <f>IF(A39="","",TEXT(A39,"MMM YYYY"))</f>
        <v/>
      </c>
    </row>
    <row r="40">
      <c r="A40" s="21" t="n"/>
      <c r="C40" s="14" t="n"/>
      <c r="G40">
        <f>IF(A40="","",TEXT(A40,"MMM YYYY"))</f>
        <v/>
      </c>
    </row>
    <row r="41">
      <c r="A41" s="21" t="n"/>
      <c r="C41" s="14" t="n"/>
      <c r="G41">
        <f>IF(A41="","",TEXT(A41,"MMM YYYY"))</f>
        <v/>
      </c>
    </row>
    <row r="42">
      <c r="A42" s="21" t="n"/>
      <c r="C42" s="14" t="n"/>
      <c r="G42">
        <f>IF(A42="","",TEXT(A42,"MMM YYYY"))</f>
        <v/>
      </c>
    </row>
    <row r="43">
      <c r="A43" s="21" t="n"/>
      <c r="C43" s="14" t="n"/>
      <c r="G43">
        <f>IF(A43="","",TEXT(A43,"MMM YYYY"))</f>
        <v/>
      </c>
    </row>
    <row r="44">
      <c r="A44" s="21" t="n"/>
      <c r="C44" s="14" t="n"/>
      <c r="G44">
        <f>IF(A44="","",TEXT(A44,"MMM YYYY"))</f>
        <v/>
      </c>
    </row>
    <row r="45">
      <c r="A45" s="21" t="n"/>
      <c r="C45" s="14" t="n"/>
      <c r="G45">
        <f>IF(A45="","",TEXT(A45,"MMM YYYY"))</f>
        <v/>
      </c>
    </row>
    <row r="46">
      <c r="A46" s="21" t="n"/>
      <c r="C46" s="14" t="n"/>
      <c r="G46">
        <f>IF(A46="","",TEXT(A46,"MMM YYYY"))</f>
        <v/>
      </c>
    </row>
    <row r="47">
      <c r="A47" s="21" t="n"/>
      <c r="C47" s="14" t="n"/>
      <c r="G47">
        <f>IF(A47="","",TEXT(A47,"MMM YYYY"))</f>
        <v/>
      </c>
    </row>
    <row r="48">
      <c r="A48" s="21" t="n"/>
      <c r="C48" s="14" t="n"/>
      <c r="G48">
        <f>IF(A48="","",TEXT(A48,"MMM YYYY"))</f>
        <v/>
      </c>
    </row>
    <row r="49">
      <c r="A49" s="21" t="n"/>
      <c r="C49" s="14" t="n"/>
      <c r="G49">
        <f>IF(A49="","",TEXT(A49,"MMM YYYY"))</f>
        <v/>
      </c>
    </row>
    <row r="50">
      <c r="A50" s="21" t="n"/>
      <c r="C50" s="14" t="n"/>
      <c r="G50">
        <f>IF(A50="","",TEXT(A50,"MMM YYYY"))</f>
        <v/>
      </c>
    </row>
    <row r="53" ht="18" customHeight="1">
      <c r="A53" s="2" t="inlineStr">
        <is>
          <t>MONTHLY SUMMARY</t>
        </is>
      </c>
    </row>
    <row r="54">
      <c r="A54" s="5" t="inlineStr">
        <is>
          <t>Month</t>
        </is>
      </c>
      <c r="B54" s="5" t="inlineStr">
        <is>
          <t>Total Spend</t>
        </is>
      </c>
      <c r="D54" s="5" t="inlineStr">
        <is>
          <t>Category</t>
        </is>
      </c>
      <c r="E54" s="5" t="inlineStr">
        <is>
          <t>Category Total</t>
        </is>
      </c>
    </row>
    <row r="55">
      <c r="A55" s="8" t="inlineStr">
        <is>
          <t>Jan 2026</t>
        </is>
      </c>
      <c r="B55" s="14">
        <f>SUMIF(G3:G50,A55,C3:C50)</f>
        <v/>
      </c>
    </row>
    <row r="56">
      <c r="A56" s="8" t="inlineStr">
        <is>
          <t>Feb 2026</t>
        </is>
      </c>
      <c r="B56" s="14">
        <f>SUMIF(G3:G50,A56,C3:C50)</f>
        <v/>
      </c>
    </row>
    <row r="57">
      <c r="A57" s="8" t="inlineStr">
        <is>
          <t>Mar 2026</t>
        </is>
      </c>
      <c r="B57" s="14">
        <f>SUMIF(G3:G50,A57,C3:C50)</f>
        <v/>
      </c>
    </row>
    <row r="58">
      <c r="A58" s="8" t="inlineStr">
        <is>
          <t>Apr 2026</t>
        </is>
      </c>
      <c r="B58" s="14">
        <f>SUMIF(G3:G50,A58,C3:C50)</f>
        <v/>
      </c>
    </row>
    <row r="59">
      <c r="A59" s="8" t="inlineStr">
        <is>
          <t>May 2026</t>
        </is>
      </c>
      <c r="B59" s="14">
        <f>SUMIF(G3:G50,A59,C3:C50)</f>
        <v/>
      </c>
    </row>
    <row r="60">
      <c r="A60" s="8" t="inlineStr">
        <is>
          <t>Jun 2026</t>
        </is>
      </c>
      <c r="B60" s="14">
        <f>SUMIF(G3:G50,A60,C3:C50)</f>
        <v/>
      </c>
    </row>
    <row r="61">
      <c r="A61" s="8" t="inlineStr">
        <is>
          <t>Jul 2026</t>
        </is>
      </c>
      <c r="B61" s="14">
        <f>SUMIF(G3:G50,A61,C3:C50)</f>
        <v/>
      </c>
    </row>
    <row r="62">
      <c r="A62" s="8" t="inlineStr">
        <is>
          <t>Aug 2026</t>
        </is>
      </c>
      <c r="B62" s="14">
        <f>SUMIF(G3:G50,A62,C3:C50)</f>
        <v/>
      </c>
    </row>
    <row r="63">
      <c r="A63" s="8" t="inlineStr">
        <is>
          <t>Sep 2026</t>
        </is>
      </c>
      <c r="B63" s="14">
        <f>SUMIF(G3:G50,A63,C3:C50)</f>
        <v/>
      </c>
    </row>
    <row r="64">
      <c r="A64" s="8" t="inlineStr">
        <is>
          <t>Oct 2026</t>
        </is>
      </c>
      <c r="B64" s="14">
        <f>SUMIF(G3:G50,A64,C3:C50)</f>
        <v/>
      </c>
    </row>
    <row r="65">
      <c r="A65" s="8" t="inlineStr">
        <is>
          <t>Nov 2026</t>
        </is>
      </c>
      <c r="B65" s="14">
        <f>SUMIF(G3:G50,A65,C3:C50)</f>
        <v/>
      </c>
    </row>
    <row r="66">
      <c r="A66" s="8" t="inlineStr">
        <is>
          <t>Dec 2026</t>
        </is>
      </c>
      <c r="B66" s="14">
        <f>SUMIF(G3:G50,A66,C3:C50)</f>
        <v/>
      </c>
    </row>
    <row r="68">
      <c r="A68" s="35" t="inlineStr">
        <is>
          <t>YTD TOTAL</t>
        </is>
      </c>
      <c r="B68" s="14">
        <f>SUM(B55:B66)</f>
        <v/>
      </c>
    </row>
    <row r="70" ht="18" customHeight="1">
      <c r="A70" s="2" t="inlineStr">
        <is>
          <t>SPEND BY CATEGORY</t>
        </is>
      </c>
    </row>
    <row r="71">
      <c r="D71" s="8" t="inlineStr">
        <is>
          <t>Stock Purchase</t>
        </is>
      </c>
      <c r="E71" s="14">
        <f>SUMIF(D3:D50,D71,C3:C50)</f>
        <v/>
      </c>
    </row>
    <row r="72">
      <c r="D72" s="8" t="inlineStr">
        <is>
          <t>Equipment</t>
        </is>
      </c>
      <c r="E72" s="14">
        <f>SUMIF(D3:D50,D72,C3:C50)</f>
        <v/>
      </c>
    </row>
    <row r="73">
      <c r="D73" s="8" t="inlineStr">
        <is>
          <t>Marketing</t>
        </is>
      </c>
      <c r="E73" s="14">
        <f>SUMIF(D3:D50,D73,C3:C50)</f>
        <v/>
      </c>
    </row>
    <row r="74">
      <c r="D74" s="8" t="inlineStr">
        <is>
          <t>Legal</t>
        </is>
      </c>
      <c r="E74" s="14">
        <f>SUMIF(D3:D50,D74,C3:C50)</f>
        <v/>
      </c>
    </row>
    <row r="75">
      <c r="D75" s="8" t="inlineStr">
        <is>
          <t>Packaging</t>
        </is>
      </c>
      <c r="E75" s="14">
        <f>SUMIF(D3:D50,D75,C3:C50)</f>
        <v/>
      </c>
    </row>
    <row r="76">
      <c r="D76" s="8" t="inlineStr">
        <is>
          <t>Postage</t>
        </is>
      </c>
      <c r="E76" s="14">
        <f>SUMIF(D3:D50,D76,C3:C50)</f>
        <v/>
      </c>
    </row>
    <row r="77">
      <c r="D77" s="8" t="inlineStr">
        <is>
          <t>Design</t>
        </is>
      </c>
      <c r="E77" s="14">
        <f>SUMIF(D3:D50,D77,C3:C50)</f>
        <v/>
      </c>
    </row>
    <row r="78">
      <c r="D78" s="8" t="inlineStr">
        <is>
          <t>Software</t>
        </is>
      </c>
      <c r="E78" s="14">
        <f>SUMIF(D3:D50,D78,C3:C50)</f>
        <v/>
      </c>
    </row>
    <row r="79">
      <c r="D79" s="8" t="inlineStr">
        <is>
          <t>Other</t>
        </is>
      </c>
      <c r="E79" s="14">
        <f>SUMIF(D3:D50,D79,C3:C50)</f>
        <v/>
      </c>
    </row>
  </sheetData>
  <autoFilter ref="A2:H2"/>
  <mergeCells count="3">
    <mergeCell ref="A70:H70"/>
    <mergeCell ref="A53:H53"/>
    <mergeCell ref="A1:H1"/>
  </mergeCells>
  <dataValidations count="1">
    <dataValidation sqref="D3:D1002" showDropDown="0" showInputMessage="0" showErrorMessage="0" allowBlank="1" type="list">
      <formula1>"Stock Purchase,Equipment,Marketing,Legal,Packaging,Postage,Design,Software,Other"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  <col width="14" customWidth="1" min="8" max="8"/>
    <col width="14" customWidth="1" min="9" max="9"/>
    <col width="30" customWidth="1" min="10" max="10"/>
  </cols>
  <sheetData>
    <row r="1" ht="22" customHeight="1">
      <c r="A1" s="1" t="inlineStr">
        <is>
          <t>CRP Labs Ltd — Velox Peptides  |  Discount Codes  |  17/05/2026</t>
        </is>
      </c>
    </row>
    <row r="2" ht="22" customHeight="1">
      <c r="A2" s="5" t="inlineStr">
        <is>
          <t>Code</t>
        </is>
      </c>
      <c r="B2" s="5" t="inlineStr">
        <is>
          <t>Type</t>
        </is>
      </c>
      <c r="C2" s="5" t="inlineStr">
        <is>
          <t>Value</t>
        </is>
      </c>
      <c r="D2" s="5" t="inlineStr">
        <is>
          <t>Status</t>
        </is>
      </c>
      <c r="E2" s="5" t="inlineStr">
        <is>
          <t>Times Used</t>
        </is>
      </c>
      <c r="F2" s="5" t="inlineStr">
        <is>
          <t>Total Discount Given</t>
        </is>
      </c>
      <c r="G2" s="5" t="inlineStr">
        <is>
          <t>Total Revenue Generated</t>
        </is>
      </c>
      <c r="H2" s="5" t="inlineStr">
        <is>
          <t>Net Impact</t>
        </is>
      </c>
      <c r="I2" s="5" t="inlineStr">
        <is>
          <t>Created Date</t>
        </is>
      </c>
      <c r="J2" s="5" t="inlineStr">
        <is>
          <t>Notes</t>
        </is>
      </c>
    </row>
    <row r="3">
      <c r="A3" s="13" t="inlineStr">
        <is>
          <t>VELOX10</t>
        </is>
      </c>
      <c r="B3" s="8" t="inlineStr">
        <is>
          <t>Percentage</t>
        </is>
      </c>
      <c r="C3" s="8" t="inlineStr">
        <is>
          <t>10%</t>
        </is>
      </c>
      <c r="D3" s="34" t="inlineStr">
        <is>
          <t>Active</t>
        </is>
      </c>
      <c r="E3" s="8" t="n">
        <v>0</v>
      </c>
      <c r="F3" s="14" t="n">
        <v>0</v>
      </c>
      <c r="G3" s="14" t="n">
        <v>0</v>
      </c>
      <c r="H3" s="14">
        <f>G3-F3</f>
        <v/>
      </c>
      <c r="I3" s="21" t="inlineStr">
        <is>
          <t>17/05/2026</t>
        </is>
      </c>
      <c r="J3" s="8" t="inlineStr">
        <is>
          <t>General site-wide discount</t>
        </is>
      </c>
    </row>
    <row r="4">
      <c r="A4" s="13" t="inlineStr">
        <is>
          <t>Anisha15%</t>
        </is>
      </c>
      <c r="B4" s="8" t="inlineStr">
        <is>
          <t>Percentage</t>
        </is>
      </c>
      <c r="C4" s="8" t="inlineStr">
        <is>
          <t>15%</t>
        </is>
      </c>
      <c r="D4" s="34" t="inlineStr">
        <is>
          <t>Active</t>
        </is>
      </c>
      <c r="E4" s="8" t="n">
        <v>0</v>
      </c>
      <c r="F4" s="14" t="n">
        <v>0</v>
      </c>
      <c r="G4" s="14" t="n">
        <v>0</v>
      </c>
      <c r="H4" s="14">
        <f>G4-F4</f>
        <v/>
      </c>
      <c r="I4" s="21" t="inlineStr">
        <is>
          <t>17/05/2026</t>
        </is>
      </c>
      <c r="J4" s="8" t="inlineStr">
        <is>
          <t>Influencer / affiliate code</t>
        </is>
      </c>
    </row>
    <row r="5">
      <c r="A5" s="13" t="inlineStr">
        <is>
          <t>Tom40</t>
        </is>
      </c>
      <c r="B5" s="8" t="inlineStr">
        <is>
          <t>Percentage</t>
        </is>
      </c>
      <c r="C5" s="8" t="inlineStr">
        <is>
          <t>40%</t>
        </is>
      </c>
      <c r="D5" s="34" t="inlineStr">
        <is>
          <t>Active</t>
        </is>
      </c>
      <c r="E5" s="8" t="n">
        <v>0</v>
      </c>
      <c r="F5" s="14" t="n">
        <v>0</v>
      </c>
      <c r="G5" s="14" t="n">
        <v>0</v>
      </c>
      <c r="H5" s="14">
        <f>G5-F5</f>
        <v/>
      </c>
      <c r="I5" s="21" t="inlineStr">
        <is>
          <t>17/05/2026</t>
        </is>
      </c>
      <c r="J5" s="8" t="inlineStr">
        <is>
          <t>Staff / VIP — 40% off</t>
        </is>
      </c>
    </row>
    <row r="6">
      <c r="A6" s="13" t="inlineStr">
        <is>
          <t>Tom25</t>
        </is>
      </c>
      <c r="B6" s="8" t="inlineStr">
        <is>
          <t>Percentage</t>
        </is>
      </c>
      <c r="C6" s="8" t="inlineStr">
        <is>
          <t>25%</t>
        </is>
      </c>
      <c r="D6" s="34" t="inlineStr">
        <is>
          <t>Active</t>
        </is>
      </c>
      <c r="E6" s="8" t="n">
        <v>0</v>
      </c>
      <c r="F6" s="14" t="n">
        <v>0</v>
      </c>
      <c r="G6" s="14" t="n">
        <v>0</v>
      </c>
      <c r="H6" s="14">
        <f>G6-F6</f>
        <v/>
      </c>
      <c r="I6" s="21" t="inlineStr">
        <is>
          <t>17/05/2026</t>
        </is>
      </c>
      <c r="J6" s="8" t="inlineStr">
        <is>
          <t>Staff / VIP — 25% off</t>
        </is>
      </c>
    </row>
    <row r="13">
      <c r="A13" s="19" t="inlineStr">
        <is>
          <t>Note: Times Used and Total Discount Given should be calculated from Orders sheet using COUNTIF on Discount Code column and SUMIF on Discount Amount column.</t>
        </is>
      </c>
    </row>
  </sheetData>
  <autoFilter ref="A2:J2"/>
  <mergeCells count="2">
    <mergeCell ref="A1:J1"/>
    <mergeCell ref="A13:J13"/>
  </mergeCells>
  <dataValidations count="2">
    <dataValidation sqref="B3:B1002" showDropDown="0" showInputMessage="0" showErrorMessage="0" allowBlank="1" type="list">
      <formula1>"Percentage,Fixed £"</formula1>
    </dataValidation>
    <dataValidation sqref="D3:D1002" showDropDown="0" showInputMessage="0" showErrorMessage="0" allowBlank="1" type="list">
      <formula1>"Active,Inactive,Expired"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M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4" customWidth="1" min="4" max="4"/>
    <col width="14" customWidth="1" min="5" max="5"/>
    <col width="13" customWidth="1" min="6" max="6"/>
    <col width="16" customWidth="1" min="7" max="7"/>
    <col width="30" customWidth="1" min="8" max="8"/>
    <col width="15" customWidth="1" min="9" max="9"/>
    <col width="14" customWidth="1" min="10" max="10"/>
    <col width="13" customWidth="1" min="11" max="11"/>
    <col width="25" customWidth="1" min="12" max="12"/>
    <col width="14" customWidth="1" min="13" max="13"/>
  </cols>
  <sheetData>
    <row r="1" ht="22" customHeight="1">
      <c r="A1" s="1" t="inlineStr">
        <is>
          <t>CRP Labs Ltd — Velox Peptides  |  Stock Management  |  17/05/2026</t>
        </is>
      </c>
    </row>
    <row r="2" ht="22" customHeight="1">
      <c r="A2" s="5" t="inlineStr">
        <is>
          <t>Product</t>
        </is>
      </c>
      <c r="B2" s="5" t="inlineStr">
        <is>
          <t>Variation</t>
        </is>
      </c>
      <c r="C2" s="5" t="inlineStr">
        <is>
          <t>Current Stock</t>
        </is>
      </c>
      <c r="D2" s="5" t="inlineStr">
        <is>
          <t>Units Sold MTD</t>
        </is>
      </c>
      <c r="E2" s="5" t="inlineStr">
        <is>
          <t>Units Sold YTD</t>
        </is>
      </c>
      <c r="F2" s="5" t="inlineStr">
        <is>
          <t>Reorder Point</t>
        </is>
      </c>
      <c r="G2" s="5" t="inlineStr">
        <is>
          <t>Reorder Quantity</t>
        </is>
      </c>
      <c r="H2" s="5" t="inlineStr">
        <is>
          <t>Supplier</t>
        </is>
      </c>
      <c r="I2" s="5" t="inlineStr">
        <is>
          <t>Lead Time (days)</t>
        </is>
      </c>
      <c r="J2" s="5" t="inlineStr">
        <is>
          <t>Last Restocked</t>
        </is>
      </c>
      <c r="K2" s="5" t="inlineStr">
        <is>
          <t>Restock Cost</t>
        </is>
      </c>
      <c r="L2" s="5" t="inlineStr">
        <is>
          <t>Notes</t>
        </is>
      </c>
      <c r="M2" s="5" t="inlineStr">
        <is>
          <t>Reorder Flag</t>
        </is>
      </c>
    </row>
    <row r="3">
      <c r="A3" s="8" t="inlineStr">
        <is>
          <t>BPC-157</t>
        </is>
      </c>
      <c r="B3" s="8" t="inlineStr">
        <is>
          <t>5mg</t>
        </is>
      </c>
      <c r="C3" s="13" t="n">
        <v>12</v>
      </c>
      <c r="D3" t="n">
        <v>0</v>
      </c>
      <c r="E3" t="n">
        <v>0</v>
      </c>
      <c r="F3" s="8" t="n">
        <v>8</v>
      </c>
      <c r="G3" s="8" t="n">
        <v>20</v>
      </c>
      <c r="H3" s="36" t="inlineStr">
        <is>
          <t>Chinese API Supplier (via broker)</t>
        </is>
      </c>
      <c r="I3" s="8" t="n">
        <v>14</v>
      </c>
      <c r="J3" s="21" t="n"/>
      <c r="K3" s="14" t="n"/>
      <c r="M3" s="37">
        <f>IF(C3&lt;=F3,"⚠ REORDER","OK")</f>
        <v/>
      </c>
    </row>
    <row r="4">
      <c r="A4" s="8" t="inlineStr">
        <is>
          <t>BPC-157</t>
        </is>
      </c>
      <c r="B4" s="8" t="inlineStr">
        <is>
          <t>10mg</t>
        </is>
      </c>
      <c r="C4" s="13" t="n">
        <v>8</v>
      </c>
      <c r="D4" t="n">
        <v>0</v>
      </c>
      <c r="E4" t="n">
        <v>0</v>
      </c>
      <c r="F4" s="8" t="n">
        <v>8</v>
      </c>
      <c r="G4" s="8" t="n">
        <v>20</v>
      </c>
      <c r="H4" s="36" t="inlineStr">
        <is>
          <t>Chinese API Supplier (via broker)</t>
        </is>
      </c>
      <c r="I4" s="8" t="n">
        <v>14</v>
      </c>
      <c r="J4" s="21" t="n"/>
      <c r="K4" s="14" t="n"/>
      <c r="M4" s="37">
        <f>IF(C4&lt;=F4,"⚠ REORDER","OK")</f>
        <v/>
      </c>
    </row>
    <row r="5">
      <c r="A5" s="8" t="inlineStr">
        <is>
          <t>TB-500</t>
        </is>
      </c>
      <c r="B5" s="8" t="inlineStr">
        <is>
          <t>5mg</t>
        </is>
      </c>
      <c r="C5" s="13" t="n">
        <v>6</v>
      </c>
      <c r="D5" t="n">
        <v>0</v>
      </c>
      <c r="E5" t="n">
        <v>0</v>
      </c>
      <c r="F5" s="8" t="n">
        <v>8</v>
      </c>
      <c r="G5" s="8" t="n">
        <v>20</v>
      </c>
      <c r="H5" s="36" t="inlineStr">
        <is>
          <t>Chinese API Supplier (via broker)</t>
        </is>
      </c>
      <c r="I5" s="8" t="n">
        <v>14</v>
      </c>
      <c r="J5" s="21" t="n"/>
      <c r="K5" s="14" t="n"/>
      <c r="M5" s="37">
        <f>IF(C5&lt;=F5,"⚠ REORDER","OK")</f>
        <v/>
      </c>
    </row>
    <row r="6">
      <c r="A6" s="8" t="inlineStr">
        <is>
          <t>TB-500</t>
        </is>
      </c>
      <c r="B6" s="8" t="inlineStr">
        <is>
          <t>10mg</t>
        </is>
      </c>
      <c r="C6" s="13" t="n">
        <v>6</v>
      </c>
      <c r="D6" t="n">
        <v>0</v>
      </c>
      <c r="E6" t="n">
        <v>0</v>
      </c>
      <c r="F6" s="8" t="n">
        <v>8</v>
      </c>
      <c r="G6" s="8" t="n">
        <v>20</v>
      </c>
      <c r="H6" s="36" t="inlineStr">
        <is>
          <t>Chinese API Supplier (via broker)</t>
        </is>
      </c>
      <c r="I6" s="8" t="n">
        <v>14</v>
      </c>
      <c r="J6" s="21" t="n"/>
      <c r="K6" s="14" t="n"/>
      <c r="M6" s="37">
        <f>IF(C6&lt;=F6,"⚠ REORDER","OK")</f>
        <v/>
      </c>
    </row>
    <row r="7">
      <c r="A7" s="8" t="inlineStr">
        <is>
          <t>BPC-157 &amp; TB-500 Blend</t>
        </is>
      </c>
      <c r="B7" s="8" t="inlineStr">
        <is>
          <t>10mg</t>
        </is>
      </c>
      <c r="C7" s="13" t="n">
        <v>5</v>
      </c>
      <c r="D7" t="n">
        <v>0</v>
      </c>
      <c r="E7" t="n">
        <v>0</v>
      </c>
      <c r="F7" s="8" t="n">
        <v>5</v>
      </c>
      <c r="G7" s="8" t="n">
        <v>10</v>
      </c>
      <c r="H7" s="36" t="inlineStr">
        <is>
          <t>Chinese API Supplier (via broker)</t>
        </is>
      </c>
      <c r="I7" s="8" t="n">
        <v>14</v>
      </c>
      <c r="J7" s="21" t="n"/>
      <c r="K7" s="14" t="n"/>
      <c r="M7" s="37">
        <f>IF(C7&lt;=F7,"⚠ REORDER","OK")</f>
        <v/>
      </c>
    </row>
    <row r="8">
      <c r="A8" s="8" t="inlineStr">
        <is>
          <t>Semax</t>
        </is>
      </c>
      <c r="B8" s="8" t="inlineStr">
        <is>
          <t>10mg</t>
        </is>
      </c>
      <c r="C8" s="13" t="n">
        <v>11</v>
      </c>
      <c r="D8" t="n">
        <v>0</v>
      </c>
      <c r="E8" t="n">
        <v>0</v>
      </c>
      <c r="F8" s="8" t="n">
        <v>8</v>
      </c>
      <c r="G8" s="8" t="n">
        <v>20</v>
      </c>
      <c r="H8" s="36" t="inlineStr">
        <is>
          <t>Chinese API Supplier (via broker)</t>
        </is>
      </c>
      <c r="I8" s="8" t="n">
        <v>14</v>
      </c>
      <c r="J8" s="21" t="n"/>
      <c r="K8" s="14" t="n"/>
      <c r="M8" s="37">
        <f>IF(C8&lt;=F8,"⚠ REORDER","OK")</f>
        <v/>
      </c>
    </row>
    <row r="9">
      <c r="A9" s="8" t="inlineStr">
        <is>
          <t>Selank</t>
        </is>
      </c>
      <c r="B9" s="8" t="inlineStr">
        <is>
          <t>10mg</t>
        </is>
      </c>
      <c r="C9" s="13" t="n">
        <v>4</v>
      </c>
      <c r="D9" t="n">
        <v>0</v>
      </c>
      <c r="E9" t="n">
        <v>0</v>
      </c>
      <c r="F9" s="8" t="n">
        <v>8</v>
      </c>
      <c r="G9" s="8" t="n">
        <v>20</v>
      </c>
      <c r="H9" s="36" t="inlineStr">
        <is>
          <t>Chinese API Supplier (via broker)</t>
        </is>
      </c>
      <c r="I9" s="8" t="n">
        <v>14</v>
      </c>
      <c r="J9" s="21" t="n"/>
      <c r="K9" s="14" t="n"/>
      <c r="M9" s="37">
        <f>IF(C9&lt;=F9,"⚠ REORDER","OK")</f>
        <v/>
      </c>
    </row>
    <row r="10">
      <c r="A10" s="8" t="inlineStr">
        <is>
          <t>DSIP</t>
        </is>
      </c>
      <c r="B10" s="8" t="inlineStr">
        <is>
          <t>5mg</t>
        </is>
      </c>
      <c r="C10" s="13" t="n">
        <v>14</v>
      </c>
      <c r="D10" t="n">
        <v>0</v>
      </c>
      <c r="E10" t="n">
        <v>0</v>
      </c>
      <c r="F10" s="8" t="n">
        <v>8</v>
      </c>
      <c r="G10" s="8" t="n">
        <v>20</v>
      </c>
      <c r="H10" s="36" t="inlineStr">
        <is>
          <t>Chinese API Supplier (via broker)</t>
        </is>
      </c>
      <c r="I10" s="8" t="n">
        <v>14</v>
      </c>
      <c r="J10" s="21" t="n"/>
      <c r="K10" s="14" t="n"/>
      <c r="M10" s="37">
        <f>IF(C10&lt;=F10,"⚠ REORDER","OK")</f>
        <v/>
      </c>
    </row>
    <row r="11">
      <c r="A11" s="8" t="inlineStr">
        <is>
          <t>DSIP</t>
        </is>
      </c>
      <c r="B11" s="8" t="inlineStr">
        <is>
          <t>10mg</t>
        </is>
      </c>
      <c r="C11" s="13" t="n">
        <v>10</v>
      </c>
      <c r="D11" t="n">
        <v>0</v>
      </c>
      <c r="E11" t="n">
        <v>0</v>
      </c>
      <c r="F11" s="8" t="n">
        <v>8</v>
      </c>
      <c r="G11" s="8" t="n">
        <v>20</v>
      </c>
      <c r="H11" s="36" t="inlineStr">
        <is>
          <t>Chinese API Supplier (via broker)</t>
        </is>
      </c>
      <c r="I11" s="8" t="n">
        <v>14</v>
      </c>
      <c r="J11" s="21" t="n"/>
      <c r="K11" s="14" t="n"/>
      <c r="M11" s="37">
        <f>IF(C11&lt;=F11,"⚠ REORDER","OK")</f>
        <v/>
      </c>
    </row>
    <row r="12">
      <c r="A12" s="8" t="inlineStr">
        <is>
          <t>Retatrutide</t>
        </is>
      </c>
      <c r="B12" s="8" t="inlineStr">
        <is>
          <t>10mg</t>
        </is>
      </c>
      <c r="C12" s="13" t="n">
        <v>3</v>
      </c>
      <c r="D12" t="n">
        <v>0</v>
      </c>
      <c r="E12" t="n">
        <v>0</v>
      </c>
      <c r="F12" s="8" t="n">
        <v>5</v>
      </c>
      <c r="G12" s="8" t="n">
        <v>10</v>
      </c>
      <c r="H12" s="36" t="inlineStr">
        <is>
          <t>Chinese API Supplier (via broker)</t>
        </is>
      </c>
      <c r="I12" s="8" t="n">
        <v>14</v>
      </c>
      <c r="J12" s="21" t="n"/>
      <c r="K12" s="14" t="n"/>
      <c r="M12" s="37">
        <f>IF(C12&lt;=F12,"⚠ REORDER","OK")</f>
        <v/>
      </c>
    </row>
    <row r="13">
      <c r="A13" s="8" t="inlineStr">
        <is>
          <t>Retatrutide</t>
        </is>
      </c>
      <c r="B13" s="8" t="inlineStr">
        <is>
          <t>15mg</t>
        </is>
      </c>
      <c r="C13" s="13" t="n">
        <v>8</v>
      </c>
      <c r="D13" t="n">
        <v>0</v>
      </c>
      <c r="E13" t="n">
        <v>0</v>
      </c>
      <c r="F13" s="8" t="n">
        <v>5</v>
      </c>
      <c r="G13" s="8" t="n">
        <v>10</v>
      </c>
      <c r="H13" s="36" t="inlineStr">
        <is>
          <t>Chinese API Supplier (via broker)</t>
        </is>
      </c>
      <c r="I13" s="8" t="n">
        <v>14</v>
      </c>
      <c r="J13" s="21" t="n"/>
      <c r="K13" s="14" t="n"/>
      <c r="M13" s="37">
        <f>IF(C13&lt;=F13,"⚠ REORDER","OK")</f>
        <v/>
      </c>
    </row>
    <row r="14">
      <c r="A14" s="8" t="inlineStr">
        <is>
          <t>Retatrutide</t>
        </is>
      </c>
      <c r="B14" s="8" t="inlineStr">
        <is>
          <t>20mg</t>
        </is>
      </c>
      <c r="C14" s="13" t="n">
        <v>4</v>
      </c>
      <c r="D14" t="n">
        <v>0</v>
      </c>
      <c r="E14" t="n">
        <v>0</v>
      </c>
      <c r="F14" s="8" t="n">
        <v>5</v>
      </c>
      <c r="G14" s="8" t="n">
        <v>10</v>
      </c>
      <c r="H14" s="36" t="inlineStr">
        <is>
          <t>Chinese API Supplier (via broker)</t>
        </is>
      </c>
      <c r="I14" s="8" t="n">
        <v>14</v>
      </c>
      <c r="J14" s="21" t="n"/>
      <c r="K14" s="14" t="n"/>
      <c r="M14" s="37">
        <f>IF(C14&lt;=F14,"⚠ REORDER","OK")</f>
        <v/>
      </c>
    </row>
    <row r="15">
      <c r="A15" s="8" t="inlineStr">
        <is>
          <t>Tesamorelin</t>
        </is>
      </c>
      <c r="B15" s="8" t="inlineStr">
        <is>
          <t>10mg</t>
        </is>
      </c>
      <c r="C15" s="13" t="n">
        <v>4</v>
      </c>
      <c r="D15" t="n">
        <v>0</v>
      </c>
      <c r="E15" t="n">
        <v>0</v>
      </c>
      <c r="F15" s="8" t="n">
        <v>5</v>
      </c>
      <c r="G15" s="8" t="n">
        <v>10</v>
      </c>
      <c r="H15" s="36" t="inlineStr">
        <is>
          <t>Chinese API Supplier (via broker)</t>
        </is>
      </c>
      <c r="I15" s="8" t="n">
        <v>14</v>
      </c>
      <c r="J15" s="21" t="n"/>
      <c r="K15" s="14" t="n"/>
      <c r="M15" s="37">
        <f>IF(C15&lt;=F15,"⚠ REORDER","OK")</f>
        <v/>
      </c>
    </row>
    <row r="16">
      <c r="A16" s="8" t="inlineStr">
        <is>
          <t>Tesamorelin</t>
        </is>
      </c>
      <c r="B16" s="8" t="inlineStr">
        <is>
          <t>15mg</t>
        </is>
      </c>
      <c r="C16" s="13" t="n">
        <v>3</v>
      </c>
      <c r="D16" t="n">
        <v>0</v>
      </c>
      <c r="E16" t="n">
        <v>0</v>
      </c>
      <c r="F16" s="8" t="n">
        <v>5</v>
      </c>
      <c r="G16" s="8" t="n">
        <v>10</v>
      </c>
      <c r="H16" s="36" t="inlineStr">
        <is>
          <t>Chinese API Supplier (via broker)</t>
        </is>
      </c>
      <c r="I16" s="8" t="n">
        <v>14</v>
      </c>
      <c r="J16" s="21" t="n"/>
      <c r="K16" s="14" t="n"/>
      <c r="M16" s="37">
        <f>IF(C16&lt;=F16,"⚠ REORDER","OK")</f>
        <v/>
      </c>
    </row>
    <row r="17">
      <c r="A17" s="8" t="inlineStr">
        <is>
          <t>MOTS-C</t>
        </is>
      </c>
      <c r="B17" s="8" t="inlineStr">
        <is>
          <t>10mg</t>
        </is>
      </c>
      <c r="C17" s="13" t="n">
        <v>12</v>
      </c>
      <c r="D17" t="n">
        <v>0</v>
      </c>
      <c r="E17" t="n">
        <v>0</v>
      </c>
      <c r="F17" s="8" t="n">
        <v>8</v>
      </c>
      <c r="G17" s="8" t="n">
        <v>20</v>
      </c>
      <c r="H17" s="36" t="inlineStr">
        <is>
          <t>Chinese API Supplier (via broker)</t>
        </is>
      </c>
      <c r="I17" s="8" t="n">
        <v>14</v>
      </c>
      <c r="J17" s="21" t="n"/>
      <c r="K17" s="14" t="n"/>
      <c r="M17" s="37">
        <f>IF(C17&lt;=F17,"⚠ REORDER","OK")</f>
        <v/>
      </c>
    </row>
    <row r="18">
      <c r="A18" s="8" t="inlineStr">
        <is>
          <t>NAD+</t>
        </is>
      </c>
      <c r="B18" s="8" t="inlineStr">
        <is>
          <t>500mg</t>
        </is>
      </c>
      <c r="C18" s="13" t="n">
        <v>10</v>
      </c>
      <c r="D18" t="n">
        <v>0</v>
      </c>
      <c r="E18" t="n">
        <v>0</v>
      </c>
      <c r="F18" s="8" t="n">
        <v>8</v>
      </c>
      <c r="G18" s="8" t="n">
        <v>20</v>
      </c>
      <c r="H18" s="36" t="inlineStr">
        <is>
          <t>Chinese API Supplier (via broker)</t>
        </is>
      </c>
      <c r="I18" s="8" t="n">
        <v>14</v>
      </c>
      <c r="J18" s="21" t="n"/>
      <c r="K18" s="14" t="n"/>
      <c r="M18" s="37">
        <f>IF(C18&lt;=F18,"⚠ REORDER","OK")</f>
        <v/>
      </c>
    </row>
    <row r="19">
      <c r="A19" s="8" t="inlineStr">
        <is>
          <t>NAD+</t>
        </is>
      </c>
      <c r="B19" s="8" t="inlineStr">
        <is>
          <t>1000mg</t>
        </is>
      </c>
      <c r="C19" s="13" t="n">
        <v>10</v>
      </c>
      <c r="D19" t="n">
        <v>0</v>
      </c>
      <c r="E19" t="n">
        <v>0</v>
      </c>
      <c r="F19" s="8" t="n">
        <v>8</v>
      </c>
      <c r="G19" s="8" t="n">
        <v>20</v>
      </c>
      <c r="H19" s="36" t="inlineStr">
        <is>
          <t>Chinese API Supplier (via broker)</t>
        </is>
      </c>
      <c r="I19" s="8" t="n">
        <v>14</v>
      </c>
      <c r="J19" s="21" t="n"/>
      <c r="K19" s="14" t="n"/>
      <c r="M19" s="37">
        <f>IF(C19&lt;=F19,"⚠ REORDER","OK")</f>
        <v/>
      </c>
    </row>
    <row r="20">
      <c r="A20" s="8" t="inlineStr">
        <is>
          <t>Glutathione</t>
        </is>
      </c>
      <c r="B20" s="8" t="inlineStr">
        <is>
          <t>1000mg</t>
        </is>
      </c>
      <c r="C20" s="13" t="n">
        <v>9</v>
      </c>
      <c r="D20" t="n">
        <v>0</v>
      </c>
      <c r="E20" t="n">
        <v>0</v>
      </c>
      <c r="F20" s="8" t="n">
        <v>8</v>
      </c>
      <c r="G20" s="8" t="n">
        <v>20</v>
      </c>
      <c r="H20" s="36" t="inlineStr">
        <is>
          <t>Chinese API Supplier (via broker)</t>
        </is>
      </c>
      <c r="I20" s="8" t="n">
        <v>14</v>
      </c>
      <c r="J20" s="21" t="n"/>
      <c r="K20" s="14" t="n"/>
      <c r="M20" s="37">
        <f>IF(C20&lt;=F20,"⚠ REORDER","OK")</f>
        <v/>
      </c>
    </row>
    <row r="21">
      <c r="A21" s="8" t="inlineStr">
        <is>
          <t>Glutathione</t>
        </is>
      </c>
      <c r="B21" s="8" t="inlineStr">
        <is>
          <t>1500mg</t>
        </is>
      </c>
      <c r="C21" s="13" t="n">
        <v>9</v>
      </c>
      <c r="D21" t="n">
        <v>0</v>
      </c>
      <c r="E21" t="n">
        <v>0</v>
      </c>
      <c r="F21" s="8" t="n">
        <v>8</v>
      </c>
      <c r="G21" s="8" t="n">
        <v>20</v>
      </c>
      <c r="H21" s="36" t="inlineStr">
        <is>
          <t>Chinese API Supplier (via broker)</t>
        </is>
      </c>
      <c r="I21" s="8" t="n">
        <v>14</v>
      </c>
      <c r="J21" s="21" t="n"/>
      <c r="K21" s="14" t="n"/>
      <c r="M21" s="37">
        <f>IF(C21&lt;=F21,"⚠ REORDER","OK")</f>
        <v/>
      </c>
    </row>
    <row r="22">
      <c r="A22" s="8" t="inlineStr">
        <is>
          <t>GHK-Cu</t>
        </is>
      </c>
      <c r="B22" s="8" t="inlineStr">
        <is>
          <t>50mg</t>
        </is>
      </c>
      <c r="C22" s="13" t="n">
        <v>11</v>
      </c>
      <c r="D22" t="n">
        <v>0</v>
      </c>
      <c r="E22" t="n">
        <v>0</v>
      </c>
      <c r="F22" s="8" t="n">
        <v>8</v>
      </c>
      <c r="G22" s="8" t="n">
        <v>20</v>
      </c>
      <c r="H22" s="36" t="inlineStr">
        <is>
          <t>Chinese API Supplier (via broker)</t>
        </is>
      </c>
      <c r="I22" s="8" t="n">
        <v>14</v>
      </c>
      <c r="J22" s="21" t="n"/>
      <c r="K22" s="14" t="n"/>
      <c r="M22" s="37">
        <f>IF(C22&lt;=F22,"⚠ REORDER","OK")</f>
        <v/>
      </c>
    </row>
    <row r="23">
      <c r="A23" s="8" t="inlineStr">
        <is>
          <t>GHK-Cu</t>
        </is>
      </c>
      <c r="B23" s="8" t="inlineStr">
        <is>
          <t>100mg</t>
        </is>
      </c>
      <c r="C23" s="13" t="n">
        <v>8</v>
      </c>
      <c r="D23" t="n">
        <v>0</v>
      </c>
      <c r="E23" t="n">
        <v>0</v>
      </c>
      <c r="F23" s="8" t="n">
        <v>8</v>
      </c>
      <c r="G23" s="8" t="n">
        <v>20</v>
      </c>
      <c r="H23" s="36" t="inlineStr">
        <is>
          <t>Chinese API Supplier (via broker)</t>
        </is>
      </c>
      <c r="I23" s="8" t="n">
        <v>14</v>
      </c>
      <c r="J23" s="21" t="n"/>
      <c r="K23" s="14" t="n"/>
      <c r="M23" s="37">
        <f>IF(C23&lt;=F23,"⚠ REORDER","OK")</f>
        <v/>
      </c>
    </row>
    <row r="24">
      <c r="A24" s="8" t="inlineStr">
        <is>
          <t>MT2 (Melanotan II)</t>
        </is>
      </c>
      <c r="B24" s="8" t="inlineStr">
        <is>
          <t>10mg</t>
        </is>
      </c>
      <c r="C24" s="13" t="n">
        <v>6</v>
      </c>
      <c r="D24" t="n">
        <v>0</v>
      </c>
      <c r="E24" t="n">
        <v>0</v>
      </c>
      <c r="F24" s="8" t="n">
        <v>8</v>
      </c>
      <c r="G24" s="8" t="n">
        <v>20</v>
      </c>
      <c r="H24" s="36" t="inlineStr">
        <is>
          <t>Chinese API Supplier (via broker)</t>
        </is>
      </c>
      <c r="I24" s="8" t="n">
        <v>14</v>
      </c>
      <c r="J24" s="21" t="n"/>
      <c r="K24" s="14" t="n"/>
      <c r="M24" s="37">
        <f>IF(C24&lt;=F24,"⚠ REORDER","OK")</f>
        <v/>
      </c>
    </row>
    <row r="25">
      <c r="A25" s="8" t="inlineStr">
        <is>
          <t>CJC-1295 wo DAC</t>
        </is>
      </c>
      <c r="B25" s="8" t="inlineStr">
        <is>
          <t>10mg</t>
        </is>
      </c>
      <c r="C25" s="13" t="n">
        <v>9</v>
      </c>
      <c r="D25" t="n">
        <v>0</v>
      </c>
      <c r="E25" t="n">
        <v>0</v>
      </c>
      <c r="F25" s="8" t="n">
        <v>8</v>
      </c>
      <c r="G25" s="8" t="n">
        <v>20</v>
      </c>
      <c r="H25" s="36" t="inlineStr">
        <is>
          <t>Chinese API Supplier (via broker)</t>
        </is>
      </c>
      <c r="I25" s="8" t="n">
        <v>14</v>
      </c>
      <c r="J25" s="21" t="n"/>
      <c r="K25" s="14" t="n"/>
      <c r="M25" s="37">
        <f>IF(C25&lt;=F25,"⚠ REORDER","OK")</f>
        <v/>
      </c>
    </row>
    <row r="26">
      <c r="A26" s="8" t="inlineStr">
        <is>
          <t>KPV</t>
        </is>
      </c>
      <c r="B26" s="8" t="inlineStr">
        <is>
          <t>10mg</t>
        </is>
      </c>
      <c r="C26" s="13" t="n">
        <v>11</v>
      </c>
      <c r="D26" t="n">
        <v>0</v>
      </c>
      <c r="E26" t="n">
        <v>0</v>
      </c>
      <c r="F26" s="8" t="n">
        <v>8</v>
      </c>
      <c r="G26" s="8" t="n">
        <v>20</v>
      </c>
      <c r="H26" s="36" t="inlineStr">
        <is>
          <t>Chinese API Supplier (via broker)</t>
        </is>
      </c>
      <c r="I26" s="8" t="n">
        <v>14</v>
      </c>
      <c r="J26" s="21" t="n"/>
      <c r="K26" s="14" t="n"/>
      <c r="M26" s="37">
        <f>IF(C26&lt;=F26,"⚠ REORDER","OK")</f>
        <v/>
      </c>
    </row>
  </sheetData>
  <autoFilter ref="A2:M2"/>
  <mergeCells count="1">
    <mergeCell ref="A1:M1"/>
  </mergeCells>
  <conditionalFormatting sqref="M3:M26">
    <cfRule type="expression" priority="1" dxfId="5">
      <formula>$M3="⚠ REORDER"</formula>
    </cfRule>
    <cfRule type="expression" priority="2" dxfId="4">
      <formula>$M3="OK"</formula>
    </cfRule>
  </conditionalFormatting>
  <conditionalFormatting sqref="C3:C26">
    <cfRule type="expression" priority="3" dxfId="11">
      <formula>$C3&lt;=$F3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M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35" customWidth="1" min="4" max="4"/>
    <col width="11" customWidth="1" min="5" max="5"/>
    <col width="13" customWidth="1" min="6" max="6"/>
    <col width="26" customWidth="1" min="7" max="7"/>
    <col width="22" customWidth="1" min="8" max="8"/>
    <col width="55" customWidth="1" min="9" max="9"/>
    <col width="7" customWidth="1" min="10" max="10"/>
    <col width="16" customWidth="1" min="11" max="11"/>
    <col width="12" customWidth="1" min="12" max="12"/>
    <col width="25" customWidth="1" min="13" max="13"/>
  </cols>
  <sheetData>
    <row r="1" ht="22" customHeight="1">
      <c r="A1" s="1" t="inlineStr">
        <is>
          <t>CRP Labs Ltd — Velox Peptides  |  Delivery Tracking  |  17/05/2026</t>
        </is>
      </c>
    </row>
    <row r="2" ht="22" customHeight="1">
      <c r="A2" s="5" t="inlineStr">
        <is>
          <t>Order ID</t>
        </is>
      </c>
      <c r="B2" s="5" t="inlineStr">
        <is>
          <t>Customer Name</t>
        </is>
      </c>
      <c r="C2" s="5" t="inlineStr">
        <is>
          <t>Email</t>
        </is>
      </c>
      <c r="D2" s="5" t="inlineStr">
        <is>
          <t>Products</t>
        </is>
      </c>
      <c r="E2" s="5" t="inlineStr">
        <is>
          <t>Total</t>
        </is>
      </c>
      <c r="F2" s="5" t="inlineStr">
        <is>
          <t>Dispatch Date</t>
        </is>
      </c>
      <c r="G2" s="5" t="inlineStr">
        <is>
          <t>Carrier</t>
        </is>
      </c>
      <c r="H2" s="5" t="inlineStr">
        <is>
          <t>Tracking Number</t>
        </is>
      </c>
      <c r="I2" s="5" t="inlineStr">
        <is>
          <t>Tracking Link</t>
        </is>
      </c>
      <c r="J2" s="5" t="inlineStr">
        <is>
          <t>Region</t>
        </is>
      </c>
      <c r="K2" s="5" t="inlineStr">
        <is>
          <t>Estimated Delivery</t>
        </is>
      </c>
      <c r="L2" s="5" t="inlineStr">
        <is>
          <t>Delivered</t>
        </is>
      </c>
      <c r="M2" s="5" t="inlineStr">
        <is>
          <t>Notes</t>
        </is>
      </c>
    </row>
    <row r="3">
      <c r="E3" s="14" t="n"/>
      <c r="F3" s="21" t="n"/>
      <c r="I3" s="38">
        <f>IF(H3="","","https://www.royalmail.com/track-your-item#/tracking-results/"&amp;H3)</f>
        <v/>
      </c>
      <c r="K3" s="21" t="n"/>
    </row>
    <row r="4">
      <c r="E4" s="14" t="n"/>
      <c r="F4" s="21" t="n"/>
      <c r="I4" s="38">
        <f>IF(H4="","","https://www.royalmail.com/track-your-item#/tracking-results/"&amp;H4)</f>
        <v/>
      </c>
      <c r="K4" s="21" t="n"/>
    </row>
    <row r="5">
      <c r="E5" s="14" t="n"/>
      <c r="F5" s="21" t="n"/>
      <c r="I5" s="38">
        <f>IF(H5="","","https://www.royalmail.com/track-your-item#/tracking-results/"&amp;H5)</f>
        <v/>
      </c>
      <c r="K5" s="21" t="n"/>
    </row>
    <row r="6">
      <c r="E6" s="14" t="n"/>
      <c r="F6" s="21" t="n"/>
      <c r="I6" s="38">
        <f>IF(H6="","","https://www.royalmail.com/track-your-item#/tracking-results/"&amp;H6)</f>
        <v/>
      </c>
      <c r="K6" s="21" t="n"/>
    </row>
    <row r="7">
      <c r="E7" s="14" t="n"/>
      <c r="F7" s="21" t="n"/>
      <c r="I7" s="38">
        <f>IF(H7="","","https://www.royalmail.com/track-your-item#/tracking-results/"&amp;H7)</f>
        <v/>
      </c>
      <c r="K7" s="21" t="n"/>
    </row>
    <row r="8">
      <c r="E8" s="14" t="n"/>
      <c r="F8" s="21" t="n"/>
      <c r="I8" s="38">
        <f>IF(H8="","","https://www.royalmail.com/track-your-item#/tracking-results/"&amp;H8)</f>
        <v/>
      </c>
      <c r="K8" s="21" t="n"/>
    </row>
    <row r="9">
      <c r="E9" s="14" t="n"/>
      <c r="F9" s="21" t="n"/>
      <c r="I9" s="38">
        <f>IF(H9="","","https://www.royalmail.com/track-your-item#/tracking-results/"&amp;H9)</f>
        <v/>
      </c>
      <c r="K9" s="21" t="n"/>
    </row>
    <row r="10">
      <c r="E10" s="14" t="n"/>
      <c r="F10" s="21" t="n"/>
      <c r="I10" s="38">
        <f>IF(H10="","","https://www.royalmail.com/track-your-item#/tracking-results/"&amp;H10)</f>
        <v/>
      </c>
      <c r="K10" s="21" t="n"/>
    </row>
    <row r="11">
      <c r="E11" s="14" t="n"/>
      <c r="F11" s="21" t="n"/>
      <c r="I11" s="38">
        <f>IF(H11="","","https://www.royalmail.com/track-your-item#/tracking-results/"&amp;H11)</f>
        <v/>
      </c>
      <c r="K11" s="21" t="n"/>
    </row>
    <row r="12">
      <c r="E12" s="14" t="n"/>
      <c r="F12" s="21" t="n"/>
      <c r="I12" s="38">
        <f>IF(H12="","","https://www.royalmail.com/track-your-item#/tracking-results/"&amp;H12)</f>
        <v/>
      </c>
      <c r="K12" s="21" t="n"/>
    </row>
    <row r="13">
      <c r="E13" s="14" t="n"/>
      <c r="F13" s="21" t="n"/>
      <c r="I13" s="38">
        <f>IF(H13="","","https://www.royalmail.com/track-your-item#/tracking-results/"&amp;H13)</f>
        <v/>
      </c>
      <c r="K13" s="21" t="n"/>
    </row>
    <row r="14">
      <c r="E14" s="14" t="n"/>
      <c r="F14" s="21" t="n"/>
      <c r="I14" s="38">
        <f>IF(H14="","","https://www.royalmail.com/track-your-item#/tracking-results/"&amp;H14)</f>
        <v/>
      </c>
      <c r="K14" s="21" t="n"/>
    </row>
    <row r="15">
      <c r="E15" s="14" t="n"/>
      <c r="F15" s="21" t="n"/>
      <c r="I15" s="38">
        <f>IF(H15="","","https://www.royalmail.com/track-your-item#/tracking-results/"&amp;H15)</f>
        <v/>
      </c>
      <c r="K15" s="21" t="n"/>
    </row>
    <row r="16">
      <c r="E16" s="14" t="n"/>
      <c r="F16" s="21" t="n"/>
      <c r="I16" s="38">
        <f>IF(H16="","","https://www.royalmail.com/track-your-item#/tracking-results/"&amp;H16)</f>
        <v/>
      </c>
      <c r="K16" s="21" t="n"/>
    </row>
    <row r="17">
      <c r="E17" s="14" t="n"/>
      <c r="F17" s="21" t="n"/>
      <c r="I17" s="38">
        <f>IF(H17="","","https://www.royalmail.com/track-your-item#/tracking-results/"&amp;H17)</f>
        <v/>
      </c>
      <c r="K17" s="21" t="n"/>
    </row>
    <row r="18">
      <c r="E18" s="14" t="n"/>
      <c r="F18" s="21" t="n"/>
      <c r="I18" s="38">
        <f>IF(H18="","","https://www.royalmail.com/track-your-item#/tracking-results/"&amp;H18)</f>
        <v/>
      </c>
      <c r="K18" s="21" t="n"/>
    </row>
    <row r="19">
      <c r="E19" s="14" t="n"/>
      <c r="F19" s="21" t="n"/>
      <c r="I19" s="38">
        <f>IF(H19="","","https://www.royalmail.com/track-your-item#/tracking-results/"&amp;H19)</f>
        <v/>
      </c>
      <c r="K19" s="21" t="n"/>
    </row>
    <row r="20">
      <c r="E20" s="14" t="n"/>
      <c r="F20" s="21" t="n"/>
      <c r="I20" s="38">
        <f>IF(H20="","","https://www.royalmail.com/track-your-item#/tracking-results/"&amp;H20)</f>
        <v/>
      </c>
      <c r="K20" s="21" t="n"/>
    </row>
    <row r="21">
      <c r="E21" s="14" t="n"/>
      <c r="F21" s="21" t="n"/>
      <c r="I21" s="38">
        <f>IF(H21="","","https://www.royalmail.com/track-your-item#/tracking-results/"&amp;H21)</f>
        <v/>
      </c>
      <c r="K21" s="21" t="n"/>
    </row>
    <row r="22">
      <c r="E22" s="14" t="n"/>
      <c r="F22" s="21" t="n"/>
      <c r="I22" s="38">
        <f>IF(H22="","","https://www.royalmail.com/track-your-item#/tracking-results/"&amp;H22)</f>
        <v/>
      </c>
      <c r="K22" s="21" t="n"/>
    </row>
    <row r="23">
      <c r="E23" s="14" t="n"/>
      <c r="F23" s="21" t="n"/>
      <c r="I23" s="38">
        <f>IF(H23="","","https://www.royalmail.com/track-your-item#/tracking-results/"&amp;H23)</f>
        <v/>
      </c>
      <c r="K23" s="21" t="n"/>
    </row>
    <row r="24">
      <c r="E24" s="14" t="n"/>
      <c r="F24" s="21" t="n"/>
      <c r="I24" s="38">
        <f>IF(H24="","","https://www.royalmail.com/track-your-item#/tracking-results/"&amp;H24)</f>
        <v/>
      </c>
      <c r="K24" s="21" t="n"/>
    </row>
    <row r="25">
      <c r="E25" s="14" t="n"/>
      <c r="F25" s="21" t="n"/>
      <c r="I25" s="38">
        <f>IF(H25="","","https://www.royalmail.com/track-your-item#/tracking-results/"&amp;H25)</f>
        <v/>
      </c>
      <c r="K25" s="21" t="n"/>
    </row>
    <row r="26">
      <c r="E26" s="14" t="n"/>
      <c r="F26" s="21" t="n"/>
      <c r="I26" s="38">
        <f>IF(H26="","","https://www.royalmail.com/track-your-item#/tracking-results/"&amp;H26)</f>
        <v/>
      </c>
      <c r="K26" s="21" t="n"/>
    </row>
    <row r="27">
      <c r="E27" s="14" t="n"/>
      <c r="F27" s="21" t="n"/>
      <c r="I27" s="38">
        <f>IF(H27="","","https://www.royalmail.com/track-your-item#/tracking-results/"&amp;H27)</f>
        <v/>
      </c>
      <c r="K27" s="21" t="n"/>
    </row>
    <row r="28">
      <c r="E28" s="14" t="n"/>
      <c r="F28" s="21" t="n"/>
      <c r="I28" s="38">
        <f>IF(H28="","","https://www.royalmail.com/track-your-item#/tracking-results/"&amp;H28)</f>
        <v/>
      </c>
      <c r="K28" s="21" t="n"/>
    </row>
    <row r="29">
      <c r="E29" s="14" t="n"/>
      <c r="F29" s="21" t="n"/>
      <c r="I29" s="38">
        <f>IF(H29="","","https://www.royalmail.com/track-your-item#/tracking-results/"&amp;H29)</f>
        <v/>
      </c>
      <c r="K29" s="21" t="n"/>
    </row>
    <row r="30">
      <c r="E30" s="14" t="n"/>
      <c r="F30" s="21" t="n"/>
      <c r="I30" s="38">
        <f>IF(H30="","","https://www.royalmail.com/track-your-item#/tracking-results/"&amp;H30)</f>
        <v/>
      </c>
      <c r="K30" s="21" t="n"/>
    </row>
    <row r="31">
      <c r="E31" s="14" t="n"/>
      <c r="F31" s="21" t="n"/>
      <c r="I31" s="38">
        <f>IF(H31="","","https://www.royalmail.com/track-your-item#/tracking-results/"&amp;H31)</f>
        <v/>
      </c>
      <c r="K31" s="21" t="n"/>
    </row>
    <row r="32">
      <c r="E32" s="14" t="n"/>
      <c r="F32" s="21" t="n"/>
      <c r="I32" s="38">
        <f>IF(H32="","","https://www.royalmail.com/track-your-item#/tracking-results/"&amp;H32)</f>
        <v/>
      </c>
      <c r="K32" s="21" t="n"/>
    </row>
    <row r="33">
      <c r="E33" s="14" t="n"/>
      <c r="F33" s="21" t="n"/>
      <c r="I33" s="38">
        <f>IF(H33="","","https://www.royalmail.com/track-your-item#/tracking-results/"&amp;H33)</f>
        <v/>
      </c>
      <c r="K33" s="21" t="n"/>
    </row>
    <row r="34">
      <c r="E34" s="14" t="n"/>
      <c r="F34" s="21" t="n"/>
      <c r="I34" s="38">
        <f>IF(H34="","","https://www.royalmail.com/track-your-item#/tracking-results/"&amp;H34)</f>
        <v/>
      </c>
      <c r="K34" s="21" t="n"/>
    </row>
    <row r="35">
      <c r="E35" s="14" t="n"/>
      <c r="F35" s="21" t="n"/>
      <c r="I35" s="38">
        <f>IF(H35="","","https://www.royalmail.com/track-your-item#/tracking-results/"&amp;H35)</f>
        <v/>
      </c>
      <c r="K35" s="21" t="n"/>
    </row>
    <row r="36">
      <c r="E36" s="14" t="n"/>
      <c r="F36" s="21" t="n"/>
      <c r="I36" s="38">
        <f>IF(H36="","","https://www.royalmail.com/track-your-item#/tracking-results/"&amp;H36)</f>
        <v/>
      </c>
      <c r="K36" s="21" t="n"/>
    </row>
    <row r="37">
      <c r="E37" s="14" t="n"/>
      <c r="F37" s="21" t="n"/>
      <c r="I37" s="38">
        <f>IF(H37="","","https://www.royalmail.com/track-your-item#/tracking-results/"&amp;H37)</f>
        <v/>
      </c>
      <c r="K37" s="21" t="n"/>
    </row>
    <row r="38">
      <c r="E38" s="14" t="n"/>
      <c r="F38" s="21" t="n"/>
      <c r="I38" s="38">
        <f>IF(H38="","","https://www.royalmail.com/track-your-item#/tracking-results/"&amp;H38)</f>
        <v/>
      </c>
      <c r="K38" s="21" t="n"/>
    </row>
    <row r="39">
      <c r="E39" s="14" t="n"/>
      <c r="F39" s="21" t="n"/>
      <c r="I39" s="38">
        <f>IF(H39="","","https://www.royalmail.com/track-your-item#/tracking-results/"&amp;H39)</f>
        <v/>
      </c>
      <c r="K39" s="21" t="n"/>
    </row>
    <row r="40">
      <c r="E40" s="14" t="n"/>
      <c r="F40" s="21" t="n"/>
      <c r="I40" s="38">
        <f>IF(H40="","","https://www.royalmail.com/track-your-item#/tracking-results/"&amp;H40)</f>
        <v/>
      </c>
      <c r="K40" s="21" t="n"/>
    </row>
    <row r="41">
      <c r="E41" s="14" t="n"/>
      <c r="F41" s="21" t="n"/>
      <c r="I41" s="38">
        <f>IF(H41="","","https://www.royalmail.com/track-your-item#/tracking-results/"&amp;H41)</f>
        <v/>
      </c>
      <c r="K41" s="21" t="n"/>
    </row>
    <row r="42">
      <c r="E42" s="14" t="n"/>
      <c r="F42" s="21" t="n"/>
      <c r="I42" s="38">
        <f>IF(H42="","","https://www.royalmail.com/track-your-item#/tracking-results/"&amp;H42)</f>
        <v/>
      </c>
      <c r="K42" s="21" t="n"/>
    </row>
    <row r="43">
      <c r="E43" s="14" t="n"/>
      <c r="F43" s="21" t="n"/>
      <c r="I43" s="38">
        <f>IF(H43="","","https://www.royalmail.com/track-your-item#/tracking-results/"&amp;H43)</f>
        <v/>
      </c>
      <c r="K43" s="21" t="n"/>
    </row>
    <row r="44">
      <c r="E44" s="14" t="n"/>
      <c r="F44" s="21" t="n"/>
      <c r="I44" s="38">
        <f>IF(H44="","","https://www.royalmail.com/track-your-item#/tracking-results/"&amp;H44)</f>
        <v/>
      </c>
      <c r="K44" s="21" t="n"/>
    </row>
    <row r="45">
      <c r="E45" s="14" t="n"/>
      <c r="F45" s="21" t="n"/>
      <c r="I45" s="38">
        <f>IF(H45="","","https://www.royalmail.com/track-your-item#/tracking-results/"&amp;H45)</f>
        <v/>
      </c>
      <c r="K45" s="21" t="n"/>
    </row>
    <row r="46">
      <c r="E46" s="14" t="n"/>
      <c r="F46" s="21" t="n"/>
      <c r="I46" s="38">
        <f>IF(H46="","","https://www.royalmail.com/track-your-item#/tracking-results/"&amp;H46)</f>
        <v/>
      </c>
      <c r="K46" s="21" t="n"/>
    </row>
    <row r="47">
      <c r="E47" s="14" t="n"/>
      <c r="F47" s="21" t="n"/>
      <c r="I47" s="38">
        <f>IF(H47="","","https://www.royalmail.com/track-your-item#/tracking-results/"&amp;H47)</f>
        <v/>
      </c>
      <c r="K47" s="21" t="n"/>
    </row>
    <row r="48">
      <c r="E48" s="14" t="n"/>
      <c r="F48" s="21" t="n"/>
      <c r="I48" s="38">
        <f>IF(H48="","","https://www.royalmail.com/track-your-item#/tracking-results/"&amp;H48)</f>
        <v/>
      </c>
      <c r="K48" s="21" t="n"/>
    </row>
    <row r="49">
      <c r="E49" s="14" t="n"/>
      <c r="F49" s="21" t="n"/>
      <c r="I49" s="38">
        <f>IF(H49="","","https://www.royalmail.com/track-your-item#/tracking-results/"&amp;H49)</f>
        <v/>
      </c>
      <c r="K49" s="21" t="n"/>
    </row>
    <row r="50">
      <c r="E50" s="14" t="n"/>
      <c r="F50" s="21" t="n"/>
      <c r="I50" s="38">
        <f>IF(H50="","","https://www.royalmail.com/track-your-item#/tracking-results/"&amp;H50)</f>
        <v/>
      </c>
      <c r="K50" s="21" t="n"/>
    </row>
    <row r="51">
      <c r="E51" s="14" t="n"/>
      <c r="F51" s="21" t="n"/>
      <c r="I51" s="38">
        <f>IF(H51="","","https://www.royalmail.com/track-your-item#/tracking-results/"&amp;H51)</f>
        <v/>
      </c>
      <c r="K51" s="21" t="n"/>
    </row>
    <row r="52">
      <c r="E52" s="14" t="n"/>
      <c r="F52" s="21" t="n"/>
      <c r="I52" s="38">
        <f>IF(H52="","","https://www.royalmail.com/track-your-item#/tracking-results/"&amp;H52)</f>
        <v/>
      </c>
      <c r="K52" s="21" t="n"/>
    </row>
    <row r="53">
      <c r="E53" s="14" t="n"/>
      <c r="F53" s="21" t="n"/>
      <c r="I53" s="38">
        <f>IF(H53="","","https://www.royalmail.com/track-your-item#/tracking-results/"&amp;H53)</f>
        <v/>
      </c>
      <c r="K53" s="21" t="n"/>
    </row>
    <row r="54">
      <c r="E54" s="14" t="n"/>
      <c r="F54" s="21" t="n"/>
      <c r="I54" s="38">
        <f>IF(H54="","","https://www.royalmail.com/track-your-item#/tracking-results/"&amp;H54)</f>
        <v/>
      </c>
      <c r="K54" s="21" t="n"/>
    </row>
    <row r="55">
      <c r="E55" s="14" t="n"/>
      <c r="F55" s="21" t="n"/>
      <c r="I55" s="38">
        <f>IF(H55="","","https://www.royalmail.com/track-your-item#/tracking-results/"&amp;H55)</f>
        <v/>
      </c>
      <c r="K55" s="21" t="n"/>
    </row>
    <row r="56">
      <c r="E56" s="14" t="n"/>
      <c r="F56" s="21" t="n"/>
      <c r="I56" s="38">
        <f>IF(H56="","","https://www.royalmail.com/track-your-item#/tracking-results/"&amp;H56)</f>
        <v/>
      </c>
      <c r="K56" s="21" t="n"/>
    </row>
    <row r="57">
      <c r="E57" s="14" t="n"/>
      <c r="F57" s="21" t="n"/>
      <c r="I57" s="38">
        <f>IF(H57="","","https://www.royalmail.com/track-your-item#/tracking-results/"&amp;H57)</f>
        <v/>
      </c>
      <c r="K57" s="21" t="n"/>
    </row>
    <row r="58">
      <c r="E58" s="14" t="n"/>
      <c r="F58" s="21" t="n"/>
      <c r="I58" s="38">
        <f>IF(H58="","","https://www.royalmail.com/track-your-item#/tracking-results/"&amp;H58)</f>
        <v/>
      </c>
      <c r="K58" s="21" t="n"/>
    </row>
    <row r="59">
      <c r="E59" s="14" t="n"/>
      <c r="F59" s="21" t="n"/>
      <c r="I59" s="38">
        <f>IF(H59="","","https://www.royalmail.com/track-your-item#/tracking-results/"&amp;H59)</f>
        <v/>
      </c>
      <c r="K59" s="21" t="n"/>
    </row>
    <row r="60">
      <c r="E60" s="14" t="n"/>
      <c r="F60" s="21" t="n"/>
      <c r="I60" s="38">
        <f>IF(H60="","","https://www.royalmail.com/track-your-item#/tracking-results/"&amp;H60)</f>
        <v/>
      </c>
      <c r="K60" s="21" t="n"/>
    </row>
    <row r="61">
      <c r="E61" s="14" t="n"/>
      <c r="F61" s="21" t="n"/>
      <c r="I61" s="38">
        <f>IF(H61="","","https://www.royalmail.com/track-your-item#/tracking-results/"&amp;H61)</f>
        <v/>
      </c>
      <c r="K61" s="21" t="n"/>
    </row>
    <row r="62">
      <c r="E62" s="14" t="n"/>
      <c r="F62" s="21" t="n"/>
      <c r="I62" s="38">
        <f>IF(H62="","","https://www.royalmail.com/track-your-item#/tracking-results/"&amp;H62)</f>
        <v/>
      </c>
      <c r="K62" s="21" t="n"/>
    </row>
    <row r="63">
      <c r="E63" s="14" t="n"/>
      <c r="F63" s="21" t="n"/>
      <c r="I63" s="38">
        <f>IF(H63="","","https://www.royalmail.com/track-your-item#/tracking-results/"&amp;H63)</f>
        <v/>
      </c>
      <c r="K63" s="21" t="n"/>
    </row>
    <row r="64">
      <c r="E64" s="14" t="n"/>
      <c r="F64" s="21" t="n"/>
      <c r="I64" s="38">
        <f>IF(H64="","","https://www.royalmail.com/track-your-item#/tracking-results/"&amp;H64)</f>
        <v/>
      </c>
      <c r="K64" s="21" t="n"/>
    </row>
    <row r="65">
      <c r="E65" s="14" t="n"/>
      <c r="F65" s="21" t="n"/>
      <c r="I65" s="38">
        <f>IF(H65="","","https://www.royalmail.com/track-your-item#/tracking-results/"&amp;H65)</f>
        <v/>
      </c>
      <c r="K65" s="21" t="n"/>
    </row>
    <row r="66">
      <c r="E66" s="14" t="n"/>
      <c r="F66" s="21" t="n"/>
      <c r="I66" s="38">
        <f>IF(H66="","","https://www.royalmail.com/track-your-item#/tracking-results/"&amp;H66)</f>
        <v/>
      </c>
      <c r="K66" s="21" t="n"/>
    </row>
    <row r="67">
      <c r="E67" s="14" t="n"/>
      <c r="F67" s="21" t="n"/>
      <c r="I67" s="38">
        <f>IF(H67="","","https://www.royalmail.com/track-your-item#/tracking-results/"&amp;H67)</f>
        <v/>
      </c>
      <c r="K67" s="21" t="n"/>
    </row>
    <row r="68">
      <c r="E68" s="14" t="n"/>
      <c r="F68" s="21" t="n"/>
      <c r="I68" s="38">
        <f>IF(H68="","","https://www.royalmail.com/track-your-item#/tracking-results/"&amp;H68)</f>
        <v/>
      </c>
      <c r="K68" s="21" t="n"/>
    </row>
    <row r="69">
      <c r="E69" s="14" t="n"/>
      <c r="F69" s="21" t="n"/>
      <c r="I69" s="38">
        <f>IF(H69="","","https://www.royalmail.com/track-your-item#/tracking-results/"&amp;H69)</f>
        <v/>
      </c>
      <c r="K69" s="21" t="n"/>
    </row>
    <row r="70">
      <c r="E70" s="14" t="n"/>
      <c r="F70" s="21" t="n"/>
      <c r="I70" s="38">
        <f>IF(H70="","","https://www.royalmail.com/track-your-item#/tracking-results/"&amp;H70)</f>
        <v/>
      </c>
      <c r="K70" s="21" t="n"/>
    </row>
    <row r="71">
      <c r="E71" s="14" t="n"/>
      <c r="F71" s="21" t="n"/>
      <c r="I71" s="38">
        <f>IF(H71="","","https://www.royalmail.com/track-your-item#/tracking-results/"&amp;H71)</f>
        <v/>
      </c>
      <c r="K71" s="21" t="n"/>
    </row>
    <row r="72">
      <c r="E72" s="14" t="n"/>
      <c r="F72" s="21" t="n"/>
      <c r="I72" s="38">
        <f>IF(H72="","","https://www.royalmail.com/track-your-item#/tracking-results/"&amp;H72)</f>
        <v/>
      </c>
      <c r="K72" s="21" t="n"/>
    </row>
    <row r="73">
      <c r="E73" s="14" t="n"/>
      <c r="F73" s="21" t="n"/>
      <c r="I73" s="38">
        <f>IF(H73="","","https://www.royalmail.com/track-your-item#/tracking-results/"&amp;H73)</f>
        <v/>
      </c>
      <c r="K73" s="21" t="n"/>
    </row>
    <row r="74">
      <c r="E74" s="14" t="n"/>
      <c r="F74" s="21" t="n"/>
      <c r="I74" s="38">
        <f>IF(H74="","","https://www.royalmail.com/track-your-item#/tracking-results/"&amp;H74)</f>
        <v/>
      </c>
      <c r="K74" s="21" t="n"/>
    </row>
    <row r="75">
      <c r="E75" s="14" t="n"/>
      <c r="F75" s="21" t="n"/>
      <c r="I75" s="38">
        <f>IF(H75="","","https://www.royalmail.com/track-your-item#/tracking-results/"&amp;H75)</f>
        <v/>
      </c>
      <c r="K75" s="21" t="n"/>
    </row>
    <row r="76">
      <c r="E76" s="14" t="n"/>
      <c r="F76" s="21" t="n"/>
      <c r="I76" s="38">
        <f>IF(H76="","","https://www.royalmail.com/track-your-item#/tracking-results/"&amp;H76)</f>
        <v/>
      </c>
      <c r="K76" s="21" t="n"/>
    </row>
    <row r="77">
      <c r="E77" s="14" t="n"/>
      <c r="F77" s="21" t="n"/>
      <c r="I77" s="38">
        <f>IF(H77="","","https://www.royalmail.com/track-your-item#/tracking-results/"&amp;H77)</f>
        <v/>
      </c>
      <c r="K77" s="21" t="n"/>
    </row>
    <row r="78">
      <c r="E78" s="14" t="n"/>
      <c r="F78" s="21" t="n"/>
      <c r="I78" s="38">
        <f>IF(H78="","","https://www.royalmail.com/track-your-item#/tracking-results/"&amp;H78)</f>
        <v/>
      </c>
      <c r="K78" s="21" t="n"/>
    </row>
    <row r="79">
      <c r="E79" s="14" t="n"/>
      <c r="F79" s="21" t="n"/>
      <c r="I79" s="38">
        <f>IF(H79="","","https://www.royalmail.com/track-your-item#/tracking-results/"&amp;H79)</f>
        <v/>
      </c>
      <c r="K79" s="21" t="n"/>
    </row>
    <row r="80">
      <c r="E80" s="14" t="n"/>
      <c r="F80" s="21" t="n"/>
      <c r="I80" s="38">
        <f>IF(H80="","","https://www.royalmail.com/track-your-item#/tracking-results/"&amp;H80)</f>
        <v/>
      </c>
      <c r="K80" s="21" t="n"/>
    </row>
    <row r="81">
      <c r="E81" s="14" t="n"/>
      <c r="F81" s="21" t="n"/>
      <c r="I81" s="38">
        <f>IF(H81="","","https://www.royalmail.com/track-your-item#/tracking-results/"&amp;H81)</f>
        <v/>
      </c>
      <c r="K81" s="21" t="n"/>
    </row>
    <row r="82">
      <c r="E82" s="14" t="n"/>
      <c r="F82" s="21" t="n"/>
      <c r="I82" s="38">
        <f>IF(H82="","","https://www.royalmail.com/track-your-item#/tracking-results/"&amp;H82)</f>
        <v/>
      </c>
      <c r="K82" s="21" t="n"/>
    </row>
    <row r="83">
      <c r="E83" s="14" t="n"/>
      <c r="F83" s="21" t="n"/>
      <c r="I83" s="38">
        <f>IF(H83="","","https://www.royalmail.com/track-your-item#/tracking-results/"&amp;H83)</f>
        <v/>
      </c>
      <c r="K83" s="21" t="n"/>
    </row>
    <row r="84">
      <c r="E84" s="14" t="n"/>
      <c r="F84" s="21" t="n"/>
      <c r="I84" s="38">
        <f>IF(H84="","","https://www.royalmail.com/track-your-item#/tracking-results/"&amp;H84)</f>
        <v/>
      </c>
      <c r="K84" s="21" t="n"/>
    </row>
    <row r="85">
      <c r="E85" s="14" t="n"/>
      <c r="F85" s="21" t="n"/>
      <c r="I85" s="38">
        <f>IF(H85="","","https://www.royalmail.com/track-your-item#/tracking-results/"&amp;H85)</f>
        <v/>
      </c>
      <c r="K85" s="21" t="n"/>
    </row>
    <row r="86">
      <c r="E86" s="14" t="n"/>
      <c r="F86" s="21" t="n"/>
      <c r="I86" s="38">
        <f>IF(H86="","","https://www.royalmail.com/track-your-item#/tracking-results/"&amp;H86)</f>
        <v/>
      </c>
      <c r="K86" s="21" t="n"/>
    </row>
    <row r="87">
      <c r="E87" s="14" t="n"/>
      <c r="F87" s="21" t="n"/>
      <c r="I87" s="38">
        <f>IF(H87="","","https://www.royalmail.com/track-your-item#/tracking-results/"&amp;H87)</f>
        <v/>
      </c>
      <c r="K87" s="21" t="n"/>
    </row>
    <row r="88">
      <c r="E88" s="14" t="n"/>
      <c r="F88" s="21" t="n"/>
      <c r="I88" s="38">
        <f>IF(H88="","","https://www.royalmail.com/track-your-item#/tracking-results/"&amp;H88)</f>
        <v/>
      </c>
      <c r="K88" s="21" t="n"/>
    </row>
    <row r="89">
      <c r="E89" s="14" t="n"/>
      <c r="F89" s="21" t="n"/>
      <c r="I89" s="38">
        <f>IF(H89="","","https://www.royalmail.com/track-your-item#/tracking-results/"&amp;H89)</f>
        <v/>
      </c>
      <c r="K89" s="21" t="n"/>
    </row>
    <row r="90">
      <c r="E90" s="14" t="n"/>
      <c r="F90" s="21" t="n"/>
      <c r="I90" s="38">
        <f>IF(H90="","","https://www.royalmail.com/track-your-item#/tracking-results/"&amp;H90)</f>
        <v/>
      </c>
      <c r="K90" s="21" t="n"/>
    </row>
    <row r="91">
      <c r="E91" s="14" t="n"/>
      <c r="F91" s="21" t="n"/>
      <c r="I91" s="38">
        <f>IF(H91="","","https://www.royalmail.com/track-your-item#/tracking-results/"&amp;H91)</f>
        <v/>
      </c>
      <c r="K91" s="21" t="n"/>
    </row>
    <row r="92">
      <c r="E92" s="14" t="n"/>
      <c r="F92" s="21" t="n"/>
      <c r="I92" s="38">
        <f>IF(H92="","","https://www.royalmail.com/track-your-item#/tracking-results/"&amp;H92)</f>
        <v/>
      </c>
      <c r="K92" s="21" t="n"/>
    </row>
    <row r="93">
      <c r="E93" s="14" t="n"/>
      <c r="F93" s="21" t="n"/>
      <c r="I93" s="38">
        <f>IF(H93="","","https://www.royalmail.com/track-your-item#/tracking-results/"&amp;H93)</f>
        <v/>
      </c>
      <c r="K93" s="21" t="n"/>
    </row>
    <row r="94">
      <c r="E94" s="14" t="n"/>
      <c r="F94" s="21" t="n"/>
      <c r="I94" s="38">
        <f>IF(H94="","","https://www.royalmail.com/track-your-item#/tracking-results/"&amp;H94)</f>
        <v/>
      </c>
      <c r="K94" s="21" t="n"/>
    </row>
    <row r="95">
      <c r="E95" s="14" t="n"/>
      <c r="F95" s="21" t="n"/>
      <c r="I95" s="38">
        <f>IF(H95="","","https://www.royalmail.com/track-your-item#/tracking-results/"&amp;H95)</f>
        <v/>
      </c>
      <c r="K95" s="21" t="n"/>
    </row>
    <row r="96">
      <c r="E96" s="14" t="n"/>
      <c r="F96" s="21" t="n"/>
      <c r="I96" s="38">
        <f>IF(H96="","","https://www.royalmail.com/track-your-item#/tracking-results/"&amp;H96)</f>
        <v/>
      </c>
      <c r="K96" s="21" t="n"/>
    </row>
    <row r="97">
      <c r="E97" s="14" t="n"/>
      <c r="F97" s="21" t="n"/>
      <c r="I97" s="38">
        <f>IF(H97="","","https://www.royalmail.com/track-your-item#/tracking-results/"&amp;H97)</f>
        <v/>
      </c>
      <c r="K97" s="21" t="n"/>
    </row>
    <row r="98">
      <c r="E98" s="14" t="n"/>
      <c r="F98" s="21" t="n"/>
      <c r="I98" s="38">
        <f>IF(H98="","","https://www.royalmail.com/track-your-item#/tracking-results/"&amp;H98)</f>
        <v/>
      </c>
      <c r="K98" s="21" t="n"/>
    </row>
    <row r="99">
      <c r="E99" s="14" t="n"/>
      <c r="F99" s="21" t="n"/>
      <c r="I99" s="38">
        <f>IF(H99="","","https://www.royalmail.com/track-your-item#/tracking-results/"&amp;H99)</f>
        <v/>
      </c>
      <c r="K99" s="21" t="n"/>
    </row>
    <row r="100">
      <c r="E100" s="14" t="n"/>
      <c r="F100" s="21" t="n"/>
      <c r="I100" s="38">
        <f>IF(H100="","","https://www.royalmail.com/track-your-item#/tracking-results/"&amp;H100)</f>
        <v/>
      </c>
      <c r="K100" s="21" t="n"/>
    </row>
    <row r="101">
      <c r="E101" s="14" t="n"/>
      <c r="F101" s="21" t="n"/>
      <c r="I101" s="38">
        <f>IF(H101="","","https://www.royalmail.com/track-your-item#/tracking-results/"&amp;H101)</f>
        <v/>
      </c>
      <c r="K101" s="21" t="n"/>
    </row>
    <row r="102">
      <c r="E102" s="14" t="n"/>
      <c r="F102" s="21" t="n"/>
      <c r="I102" s="38">
        <f>IF(H102="","","https://www.royalmail.com/track-your-item#/tracking-results/"&amp;H102)</f>
        <v/>
      </c>
      <c r="K102" s="21" t="n"/>
    </row>
    <row r="103">
      <c r="E103" s="14" t="n"/>
      <c r="F103" s="21" t="n"/>
      <c r="I103" s="38">
        <f>IF(H103="","","https://www.royalmail.com/track-your-item#/tracking-results/"&amp;H103)</f>
        <v/>
      </c>
      <c r="K103" s="21" t="n"/>
    </row>
    <row r="104">
      <c r="E104" s="14" t="n"/>
      <c r="F104" s="21" t="n"/>
      <c r="I104" s="38">
        <f>IF(H104="","","https://www.royalmail.com/track-your-item#/tracking-results/"&amp;H104)</f>
        <v/>
      </c>
      <c r="K104" s="21" t="n"/>
    </row>
    <row r="105">
      <c r="E105" s="14" t="n"/>
      <c r="F105" s="21" t="n"/>
      <c r="I105" s="38">
        <f>IF(H105="","","https://www.royalmail.com/track-your-item#/tracking-results/"&amp;H105)</f>
        <v/>
      </c>
      <c r="K105" s="21" t="n"/>
    </row>
    <row r="106">
      <c r="E106" s="14" t="n"/>
      <c r="F106" s="21" t="n"/>
      <c r="I106" s="38">
        <f>IF(H106="","","https://www.royalmail.com/track-your-item#/tracking-results/"&amp;H106)</f>
        <v/>
      </c>
      <c r="K106" s="21" t="n"/>
    </row>
    <row r="107">
      <c r="E107" s="14" t="n"/>
      <c r="F107" s="21" t="n"/>
      <c r="I107" s="38">
        <f>IF(H107="","","https://www.royalmail.com/track-your-item#/tracking-results/"&amp;H107)</f>
        <v/>
      </c>
      <c r="K107" s="21" t="n"/>
    </row>
    <row r="108">
      <c r="E108" s="14" t="n"/>
      <c r="F108" s="21" t="n"/>
      <c r="I108" s="38">
        <f>IF(H108="","","https://www.royalmail.com/track-your-item#/tracking-results/"&amp;H108)</f>
        <v/>
      </c>
      <c r="K108" s="21" t="n"/>
    </row>
    <row r="109">
      <c r="E109" s="14" t="n"/>
      <c r="F109" s="21" t="n"/>
      <c r="I109" s="38">
        <f>IF(H109="","","https://www.royalmail.com/track-your-item#/tracking-results/"&amp;H109)</f>
        <v/>
      </c>
      <c r="K109" s="21" t="n"/>
    </row>
    <row r="110">
      <c r="E110" s="14" t="n"/>
      <c r="F110" s="21" t="n"/>
      <c r="I110" s="38">
        <f>IF(H110="","","https://www.royalmail.com/track-your-item#/tracking-results/"&amp;H110)</f>
        <v/>
      </c>
      <c r="K110" s="21" t="n"/>
    </row>
    <row r="111">
      <c r="E111" s="14" t="n"/>
      <c r="F111" s="21" t="n"/>
      <c r="I111" s="38">
        <f>IF(H111="","","https://www.royalmail.com/track-your-item#/tracking-results/"&amp;H111)</f>
        <v/>
      </c>
      <c r="K111" s="21" t="n"/>
    </row>
    <row r="112">
      <c r="E112" s="14" t="n"/>
      <c r="F112" s="21" t="n"/>
      <c r="I112" s="38">
        <f>IF(H112="","","https://www.royalmail.com/track-your-item#/tracking-results/"&amp;H112)</f>
        <v/>
      </c>
      <c r="K112" s="21" t="n"/>
    </row>
    <row r="113">
      <c r="E113" s="14" t="n"/>
      <c r="F113" s="21" t="n"/>
      <c r="I113" s="38">
        <f>IF(H113="","","https://www.royalmail.com/track-your-item#/tracking-results/"&amp;H113)</f>
        <v/>
      </c>
      <c r="K113" s="21" t="n"/>
    </row>
    <row r="114">
      <c r="E114" s="14" t="n"/>
      <c r="F114" s="21" t="n"/>
      <c r="I114" s="38">
        <f>IF(H114="","","https://www.royalmail.com/track-your-item#/tracking-results/"&amp;H114)</f>
        <v/>
      </c>
      <c r="K114" s="21" t="n"/>
    </row>
    <row r="115">
      <c r="E115" s="14" t="n"/>
      <c r="F115" s="21" t="n"/>
      <c r="I115" s="38">
        <f>IF(H115="","","https://www.royalmail.com/track-your-item#/tracking-results/"&amp;H115)</f>
        <v/>
      </c>
      <c r="K115" s="21" t="n"/>
    </row>
    <row r="116">
      <c r="E116" s="14" t="n"/>
      <c r="F116" s="21" t="n"/>
      <c r="I116" s="38">
        <f>IF(H116="","","https://www.royalmail.com/track-your-item#/tracking-results/"&amp;H116)</f>
        <v/>
      </c>
      <c r="K116" s="21" t="n"/>
    </row>
    <row r="117">
      <c r="E117" s="14" t="n"/>
      <c r="F117" s="21" t="n"/>
      <c r="I117" s="38">
        <f>IF(H117="","","https://www.royalmail.com/track-your-item#/tracking-results/"&amp;H117)</f>
        <v/>
      </c>
      <c r="K117" s="21" t="n"/>
    </row>
    <row r="118">
      <c r="E118" s="14" t="n"/>
      <c r="F118" s="21" t="n"/>
      <c r="I118" s="38">
        <f>IF(H118="","","https://www.royalmail.com/track-your-item#/tracking-results/"&amp;H118)</f>
        <v/>
      </c>
      <c r="K118" s="21" t="n"/>
    </row>
    <row r="119">
      <c r="E119" s="14" t="n"/>
      <c r="F119" s="21" t="n"/>
      <c r="I119" s="38">
        <f>IF(H119="","","https://www.royalmail.com/track-your-item#/tracking-results/"&amp;H119)</f>
        <v/>
      </c>
      <c r="K119" s="21" t="n"/>
    </row>
    <row r="120">
      <c r="E120" s="14" t="n"/>
      <c r="F120" s="21" t="n"/>
      <c r="I120" s="38">
        <f>IF(H120="","","https://www.royalmail.com/track-your-item#/tracking-results/"&amp;H120)</f>
        <v/>
      </c>
      <c r="K120" s="21" t="n"/>
    </row>
    <row r="121">
      <c r="E121" s="14" t="n"/>
      <c r="F121" s="21" t="n"/>
      <c r="I121" s="38">
        <f>IF(H121="","","https://www.royalmail.com/track-your-item#/tracking-results/"&amp;H121)</f>
        <v/>
      </c>
      <c r="K121" s="21" t="n"/>
    </row>
    <row r="122">
      <c r="E122" s="14" t="n"/>
      <c r="F122" s="21" t="n"/>
      <c r="I122" s="38">
        <f>IF(H122="","","https://www.royalmail.com/track-your-item#/tracking-results/"&amp;H122)</f>
        <v/>
      </c>
      <c r="K122" s="21" t="n"/>
    </row>
    <row r="123">
      <c r="E123" s="14" t="n"/>
      <c r="F123" s="21" t="n"/>
      <c r="I123" s="38">
        <f>IF(H123="","","https://www.royalmail.com/track-your-item#/tracking-results/"&amp;H123)</f>
        <v/>
      </c>
      <c r="K123" s="21" t="n"/>
    </row>
    <row r="124">
      <c r="E124" s="14" t="n"/>
      <c r="F124" s="21" t="n"/>
      <c r="I124" s="38">
        <f>IF(H124="","","https://www.royalmail.com/track-your-item#/tracking-results/"&amp;H124)</f>
        <v/>
      </c>
      <c r="K124" s="21" t="n"/>
    </row>
    <row r="125">
      <c r="E125" s="14" t="n"/>
      <c r="F125" s="21" t="n"/>
      <c r="I125" s="38">
        <f>IF(H125="","","https://www.royalmail.com/track-your-item#/tracking-results/"&amp;H125)</f>
        <v/>
      </c>
      <c r="K125" s="21" t="n"/>
    </row>
    <row r="126">
      <c r="E126" s="14" t="n"/>
      <c r="F126" s="21" t="n"/>
      <c r="I126" s="38">
        <f>IF(H126="","","https://www.royalmail.com/track-your-item#/tracking-results/"&amp;H126)</f>
        <v/>
      </c>
      <c r="K126" s="21" t="n"/>
    </row>
    <row r="127">
      <c r="E127" s="14" t="n"/>
      <c r="F127" s="21" t="n"/>
      <c r="I127" s="38">
        <f>IF(H127="","","https://www.royalmail.com/track-your-item#/tracking-results/"&amp;H127)</f>
        <v/>
      </c>
      <c r="K127" s="21" t="n"/>
    </row>
    <row r="128">
      <c r="E128" s="14" t="n"/>
      <c r="F128" s="21" t="n"/>
      <c r="I128" s="38">
        <f>IF(H128="","","https://www.royalmail.com/track-your-item#/tracking-results/"&amp;H128)</f>
        <v/>
      </c>
      <c r="K128" s="21" t="n"/>
    </row>
    <row r="129">
      <c r="E129" s="14" t="n"/>
      <c r="F129" s="21" t="n"/>
      <c r="I129" s="38">
        <f>IF(H129="","","https://www.royalmail.com/track-your-item#/tracking-results/"&amp;H129)</f>
        <v/>
      </c>
      <c r="K129" s="21" t="n"/>
    </row>
    <row r="130">
      <c r="E130" s="14" t="n"/>
      <c r="F130" s="21" t="n"/>
      <c r="I130" s="38">
        <f>IF(H130="","","https://www.royalmail.com/track-your-item#/tracking-results/"&amp;H130)</f>
        <v/>
      </c>
      <c r="K130" s="21" t="n"/>
    </row>
    <row r="131">
      <c r="E131" s="14" t="n"/>
      <c r="F131" s="21" t="n"/>
      <c r="I131" s="38">
        <f>IF(H131="","","https://www.royalmail.com/track-your-item#/tracking-results/"&amp;H131)</f>
        <v/>
      </c>
      <c r="K131" s="21" t="n"/>
    </row>
    <row r="132">
      <c r="E132" s="14" t="n"/>
      <c r="F132" s="21" t="n"/>
      <c r="I132" s="38">
        <f>IF(H132="","","https://www.royalmail.com/track-your-item#/tracking-results/"&amp;H132)</f>
        <v/>
      </c>
      <c r="K132" s="21" t="n"/>
    </row>
    <row r="133">
      <c r="E133" s="14" t="n"/>
      <c r="F133" s="21" t="n"/>
      <c r="I133" s="38">
        <f>IF(H133="","","https://www.royalmail.com/track-your-item#/tracking-results/"&amp;H133)</f>
        <v/>
      </c>
      <c r="K133" s="21" t="n"/>
    </row>
    <row r="134">
      <c r="E134" s="14" t="n"/>
      <c r="F134" s="21" t="n"/>
      <c r="I134" s="38">
        <f>IF(H134="","","https://www.royalmail.com/track-your-item#/tracking-results/"&amp;H134)</f>
        <v/>
      </c>
      <c r="K134" s="21" t="n"/>
    </row>
    <row r="135">
      <c r="E135" s="14" t="n"/>
      <c r="F135" s="21" t="n"/>
      <c r="I135" s="38">
        <f>IF(H135="","","https://www.royalmail.com/track-your-item#/tracking-results/"&amp;H135)</f>
        <v/>
      </c>
      <c r="K135" s="21" t="n"/>
    </row>
    <row r="136">
      <c r="E136" s="14" t="n"/>
      <c r="F136" s="21" t="n"/>
      <c r="I136" s="38">
        <f>IF(H136="","","https://www.royalmail.com/track-your-item#/tracking-results/"&amp;H136)</f>
        <v/>
      </c>
      <c r="K136" s="21" t="n"/>
    </row>
    <row r="137">
      <c r="E137" s="14" t="n"/>
      <c r="F137" s="21" t="n"/>
      <c r="I137" s="38">
        <f>IF(H137="","","https://www.royalmail.com/track-your-item#/tracking-results/"&amp;H137)</f>
        <v/>
      </c>
      <c r="K137" s="21" t="n"/>
    </row>
    <row r="138">
      <c r="E138" s="14" t="n"/>
      <c r="F138" s="21" t="n"/>
      <c r="I138" s="38">
        <f>IF(H138="","","https://www.royalmail.com/track-your-item#/tracking-results/"&amp;H138)</f>
        <v/>
      </c>
      <c r="K138" s="21" t="n"/>
    </row>
    <row r="139">
      <c r="E139" s="14" t="n"/>
      <c r="F139" s="21" t="n"/>
      <c r="I139" s="38">
        <f>IF(H139="","","https://www.royalmail.com/track-your-item#/tracking-results/"&amp;H139)</f>
        <v/>
      </c>
      <c r="K139" s="21" t="n"/>
    </row>
    <row r="140">
      <c r="E140" s="14" t="n"/>
      <c r="F140" s="21" t="n"/>
      <c r="I140" s="38">
        <f>IF(H140="","","https://www.royalmail.com/track-your-item#/tracking-results/"&amp;H140)</f>
        <v/>
      </c>
      <c r="K140" s="21" t="n"/>
    </row>
    <row r="141">
      <c r="E141" s="14" t="n"/>
      <c r="F141" s="21" t="n"/>
      <c r="I141" s="38">
        <f>IF(H141="","","https://www.royalmail.com/track-your-item#/tracking-results/"&amp;H141)</f>
        <v/>
      </c>
      <c r="K141" s="21" t="n"/>
    </row>
    <row r="142">
      <c r="E142" s="14" t="n"/>
      <c r="F142" s="21" t="n"/>
      <c r="I142" s="38">
        <f>IF(H142="","","https://www.royalmail.com/track-your-item#/tracking-results/"&amp;H142)</f>
        <v/>
      </c>
      <c r="K142" s="21" t="n"/>
    </row>
    <row r="143">
      <c r="E143" s="14" t="n"/>
      <c r="F143" s="21" t="n"/>
      <c r="I143" s="38">
        <f>IF(H143="","","https://www.royalmail.com/track-your-item#/tracking-results/"&amp;H143)</f>
        <v/>
      </c>
      <c r="K143" s="21" t="n"/>
    </row>
    <row r="144">
      <c r="E144" s="14" t="n"/>
      <c r="F144" s="21" t="n"/>
      <c r="I144" s="38">
        <f>IF(H144="","","https://www.royalmail.com/track-your-item#/tracking-results/"&amp;H144)</f>
        <v/>
      </c>
      <c r="K144" s="21" t="n"/>
    </row>
    <row r="145">
      <c r="E145" s="14" t="n"/>
      <c r="F145" s="21" t="n"/>
      <c r="I145" s="38">
        <f>IF(H145="","","https://www.royalmail.com/track-your-item#/tracking-results/"&amp;H145)</f>
        <v/>
      </c>
      <c r="K145" s="21" t="n"/>
    </row>
    <row r="146">
      <c r="E146" s="14" t="n"/>
      <c r="F146" s="21" t="n"/>
      <c r="I146" s="38">
        <f>IF(H146="","","https://www.royalmail.com/track-your-item#/tracking-results/"&amp;H146)</f>
        <v/>
      </c>
      <c r="K146" s="21" t="n"/>
    </row>
    <row r="147">
      <c r="E147" s="14" t="n"/>
      <c r="F147" s="21" t="n"/>
      <c r="I147" s="38">
        <f>IF(H147="","","https://www.royalmail.com/track-your-item#/tracking-results/"&amp;H147)</f>
        <v/>
      </c>
      <c r="K147" s="21" t="n"/>
    </row>
    <row r="148">
      <c r="E148" s="14" t="n"/>
      <c r="F148" s="21" t="n"/>
      <c r="I148" s="38">
        <f>IF(H148="","","https://www.royalmail.com/track-your-item#/tracking-results/"&amp;H148)</f>
        <v/>
      </c>
      <c r="K148" s="21" t="n"/>
    </row>
    <row r="149">
      <c r="E149" s="14" t="n"/>
      <c r="F149" s="21" t="n"/>
      <c r="I149" s="38">
        <f>IF(H149="","","https://www.royalmail.com/track-your-item#/tracking-results/"&amp;H149)</f>
        <v/>
      </c>
      <c r="K149" s="21" t="n"/>
    </row>
    <row r="150">
      <c r="E150" s="14" t="n"/>
      <c r="F150" s="21" t="n"/>
      <c r="I150" s="38">
        <f>IF(H150="","","https://www.royalmail.com/track-your-item#/tracking-results/"&amp;H150)</f>
        <v/>
      </c>
      <c r="K150" s="21" t="n"/>
    </row>
    <row r="151">
      <c r="E151" s="14" t="n"/>
      <c r="F151" s="21" t="n"/>
      <c r="I151" s="38">
        <f>IF(H151="","","https://www.royalmail.com/track-your-item#/tracking-results/"&amp;H151)</f>
        <v/>
      </c>
      <c r="K151" s="21" t="n"/>
    </row>
    <row r="152">
      <c r="E152" s="14" t="n"/>
      <c r="F152" s="21" t="n"/>
      <c r="I152" s="38">
        <f>IF(H152="","","https://www.royalmail.com/track-your-item#/tracking-results/"&amp;H152)</f>
        <v/>
      </c>
      <c r="K152" s="21" t="n"/>
    </row>
    <row r="153">
      <c r="E153" s="14" t="n"/>
      <c r="F153" s="21" t="n"/>
      <c r="I153" s="38">
        <f>IF(H153="","","https://www.royalmail.com/track-your-item#/tracking-results/"&amp;H153)</f>
        <v/>
      </c>
      <c r="K153" s="21" t="n"/>
    </row>
    <row r="154">
      <c r="E154" s="14" t="n"/>
      <c r="F154" s="21" t="n"/>
      <c r="I154" s="38">
        <f>IF(H154="","","https://www.royalmail.com/track-your-item#/tracking-results/"&amp;H154)</f>
        <v/>
      </c>
      <c r="K154" s="21" t="n"/>
    </row>
    <row r="155">
      <c r="E155" s="14" t="n"/>
      <c r="F155" s="21" t="n"/>
      <c r="I155" s="38">
        <f>IF(H155="","","https://www.royalmail.com/track-your-item#/tracking-results/"&amp;H155)</f>
        <v/>
      </c>
      <c r="K155" s="21" t="n"/>
    </row>
    <row r="156">
      <c r="E156" s="14" t="n"/>
      <c r="F156" s="21" t="n"/>
      <c r="I156" s="38">
        <f>IF(H156="","","https://www.royalmail.com/track-your-item#/tracking-results/"&amp;H156)</f>
        <v/>
      </c>
      <c r="K156" s="21" t="n"/>
    </row>
    <row r="157">
      <c r="E157" s="14" t="n"/>
      <c r="F157" s="21" t="n"/>
      <c r="I157" s="38">
        <f>IF(H157="","","https://www.royalmail.com/track-your-item#/tracking-results/"&amp;H157)</f>
        <v/>
      </c>
      <c r="K157" s="21" t="n"/>
    </row>
    <row r="158">
      <c r="E158" s="14" t="n"/>
      <c r="F158" s="21" t="n"/>
      <c r="I158" s="38">
        <f>IF(H158="","","https://www.royalmail.com/track-your-item#/tracking-results/"&amp;H158)</f>
        <v/>
      </c>
      <c r="K158" s="21" t="n"/>
    </row>
    <row r="159">
      <c r="E159" s="14" t="n"/>
      <c r="F159" s="21" t="n"/>
      <c r="I159" s="38">
        <f>IF(H159="","","https://www.royalmail.com/track-your-item#/tracking-results/"&amp;H159)</f>
        <v/>
      </c>
      <c r="K159" s="21" t="n"/>
    </row>
    <row r="160">
      <c r="E160" s="14" t="n"/>
      <c r="F160" s="21" t="n"/>
      <c r="I160" s="38">
        <f>IF(H160="","","https://www.royalmail.com/track-your-item#/tracking-results/"&amp;H160)</f>
        <v/>
      </c>
      <c r="K160" s="21" t="n"/>
    </row>
    <row r="161">
      <c r="E161" s="14" t="n"/>
      <c r="F161" s="21" t="n"/>
      <c r="I161" s="38">
        <f>IF(H161="","","https://www.royalmail.com/track-your-item#/tracking-results/"&amp;H161)</f>
        <v/>
      </c>
      <c r="K161" s="21" t="n"/>
    </row>
    <row r="162">
      <c r="E162" s="14" t="n"/>
      <c r="F162" s="21" t="n"/>
      <c r="I162" s="38">
        <f>IF(H162="","","https://www.royalmail.com/track-your-item#/tracking-results/"&amp;H162)</f>
        <v/>
      </c>
      <c r="K162" s="21" t="n"/>
    </row>
    <row r="163">
      <c r="E163" s="14" t="n"/>
      <c r="F163" s="21" t="n"/>
      <c r="I163" s="38">
        <f>IF(H163="","","https://www.royalmail.com/track-your-item#/tracking-results/"&amp;H163)</f>
        <v/>
      </c>
      <c r="K163" s="21" t="n"/>
    </row>
    <row r="164">
      <c r="E164" s="14" t="n"/>
      <c r="F164" s="21" t="n"/>
      <c r="I164" s="38">
        <f>IF(H164="","","https://www.royalmail.com/track-your-item#/tracking-results/"&amp;H164)</f>
        <v/>
      </c>
      <c r="K164" s="21" t="n"/>
    </row>
    <row r="165">
      <c r="E165" s="14" t="n"/>
      <c r="F165" s="21" t="n"/>
      <c r="I165" s="38">
        <f>IF(H165="","","https://www.royalmail.com/track-your-item#/tracking-results/"&amp;H165)</f>
        <v/>
      </c>
      <c r="K165" s="21" t="n"/>
    </row>
    <row r="166">
      <c r="E166" s="14" t="n"/>
      <c r="F166" s="21" t="n"/>
      <c r="I166" s="38">
        <f>IF(H166="","","https://www.royalmail.com/track-your-item#/tracking-results/"&amp;H166)</f>
        <v/>
      </c>
      <c r="K166" s="21" t="n"/>
    </row>
    <row r="167">
      <c r="E167" s="14" t="n"/>
      <c r="F167" s="21" t="n"/>
      <c r="I167" s="38">
        <f>IF(H167="","","https://www.royalmail.com/track-your-item#/tracking-results/"&amp;H167)</f>
        <v/>
      </c>
      <c r="K167" s="21" t="n"/>
    </row>
    <row r="168">
      <c r="E168" s="14" t="n"/>
      <c r="F168" s="21" t="n"/>
      <c r="I168" s="38">
        <f>IF(H168="","","https://www.royalmail.com/track-your-item#/tracking-results/"&amp;H168)</f>
        <v/>
      </c>
      <c r="K168" s="21" t="n"/>
    </row>
    <row r="169">
      <c r="E169" s="14" t="n"/>
      <c r="F169" s="21" t="n"/>
      <c r="I169" s="38">
        <f>IF(H169="","","https://www.royalmail.com/track-your-item#/tracking-results/"&amp;H169)</f>
        <v/>
      </c>
      <c r="K169" s="21" t="n"/>
    </row>
    <row r="170">
      <c r="E170" s="14" t="n"/>
      <c r="F170" s="21" t="n"/>
      <c r="I170" s="38">
        <f>IF(H170="","","https://www.royalmail.com/track-your-item#/tracking-results/"&amp;H170)</f>
        <v/>
      </c>
      <c r="K170" s="21" t="n"/>
    </row>
    <row r="171">
      <c r="E171" s="14" t="n"/>
      <c r="F171" s="21" t="n"/>
      <c r="I171" s="38">
        <f>IF(H171="","","https://www.royalmail.com/track-your-item#/tracking-results/"&amp;H171)</f>
        <v/>
      </c>
      <c r="K171" s="21" t="n"/>
    </row>
    <row r="172">
      <c r="E172" s="14" t="n"/>
      <c r="F172" s="21" t="n"/>
      <c r="I172" s="38">
        <f>IF(H172="","","https://www.royalmail.com/track-your-item#/tracking-results/"&amp;H172)</f>
        <v/>
      </c>
      <c r="K172" s="21" t="n"/>
    </row>
    <row r="173">
      <c r="E173" s="14" t="n"/>
      <c r="F173" s="21" t="n"/>
      <c r="I173" s="38">
        <f>IF(H173="","","https://www.royalmail.com/track-your-item#/tracking-results/"&amp;H173)</f>
        <v/>
      </c>
      <c r="K173" s="21" t="n"/>
    </row>
    <row r="174">
      <c r="E174" s="14" t="n"/>
      <c r="F174" s="21" t="n"/>
      <c r="I174" s="38">
        <f>IF(H174="","","https://www.royalmail.com/track-your-item#/tracking-results/"&amp;H174)</f>
        <v/>
      </c>
      <c r="K174" s="21" t="n"/>
    </row>
    <row r="175">
      <c r="E175" s="14" t="n"/>
      <c r="F175" s="21" t="n"/>
      <c r="I175" s="38">
        <f>IF(H175="","","https://www.royalmail.com/track-your-item#/tracking-results/"&amp;H175)</f>
        <v/>
      </c>
      <c r="K175" s="21" t="n"/>
    </row>
    <row r="176">
      <c r="E176" s="14" t="n"/>
      <c r="F176" s="21" t="n"/>
      <c r="I176" s="38">
        <f>IF(H176="","","https://www.royalmail.com/track-your-item#/tracking-results/"&amp;H176)</f>
        <v/>
      </c>
      <c r="K176" s="21" t="n"/>
    </row>
    <row r="177">
      <c r="E177" s="14" t="n"/>
      <c r="F177" s="21" t="n"/>
      <c r="I177" s="38">
        <f>IF(H177="","","https://www.royalmail.com/track-your-item#/tracking-results/"&amp;H177)</f>
        <v/>
      </c>
      <c r="K177" s="21" t="n"/>
    </row>
    <row r="178">
      <c r="E178" s="14" t="n"/>
      <c r="F178" s="21" t="n"/>
      <c r="I178" s="38">
        <f>IF(H178="","","https://www.royalmail.com/track-your-item#/tracking-results/"&amp;H178)</f>
        <v/>
      </c>
      <c r="K178" s="21" t="n"/>
    </row>
    <row r="179">
      <c r="E179" s="14" t="n"/>
      <c r="F179" s="21" t="n"/>
      <c r="I179" s="38">
        <f>IF(H179="","","https://www.royalmail.com/track-your-item#/tracking-results/"&amp;H179)</f>
        <v/>
      </c>
      <c r="K179" s="21" t="n"/>
    </row>
    <row r="180">
      <c r="E180" s="14" t="n"/>
      <c r="F180" s="21" t="n"/>
      <c r="I180" s="38">
        <f>IF(H180="","","https://www.royalmail.com/track-your-item#/tracking-results/"&amp;H180)</f>
        <v/>
      </c>
      <c r="K180" s="21" t="n"/>
    </row>
    <row r="181">
      <c r="E181" s="14" t="n"/>
      <c r="F181" s="21" t="n"/>
      <c r="I181" s="38">
        <f>IF(H181="","","https://www.royalmail.com/track-your-item#/tracking-results/"&amp;H181)</f>
        <v/>
      </c>
      <c r="K181" s="21" t="n"/>
    </row>
    <row r="182">
      <c r="E182" s="14" t="n"/>
      <c r="F182" s="21" t="n"/>
      <c r="I182" s="38">
        <f>IF(H182="","","https://www.royalmail.com/track-your-item#/tracking-results/"&amp;H182)</f>
        <v/>
      </c>
      <c r="K182" s="21" t="n"/>
    </row>
    <row r="183">
      <c r="E183" s="14" t="n"/>
      <c r="F183" s="21" t="n"/>
      <c r="I183" s="38">
        <f>IF(H183="","","https://www.royalmail.com/track-your-item#/tracking-results/"&amp;H183)</f>
        <v/>
      </c>
      <c r="K183" s="21" t="n"/>
    </row>
    <row r="184">
      <c r="E184" s="14" t="n"/>
      <c r="F184" s="21" t="n"/>
      <c r="I184" s="38">
        <f>IF(H184="","","https://www.royalmail.com/track-your-item#/tracking-results/"&amp;H184)</f>
        <v/>
      </c>
      <c r="K184" s="21" t="n"/>
    </row>
    <row r="185">
      <c r="E185" s="14" t="n"/>
      <c r="F185" s="21" t="n"/>
      <c r="I185" s="38">
        <f>IF(H185="","","https://www.royalmail.com/track-your-item#/tracking-results/"&amp;H185)</f>
        <v/>
      </c>
      <c r="K185" s="21" t="n"/>
    </row>
    <row r="186">
      <c r="E186" s="14" t="n"/>
      <c r="F186" s="21" t="n"/>
      <c r="I186" s="38">
        <f>IF(H186="","","https://www.royalmail.com/track-your-item#/tracking-results/"&amp;H186)</f>
        <v/>
      </c>
      <c r="K186" s="21" t="n"/>
    </row>
    <row r="187">
      <c r="E187" s="14" t="n"/>
      <c r="F187" s="21" t="n"/>
      <c r="I187" s="38">
        <f>IF(H187="","","https://www.royalmail.com/track-your-item#/tracking-results/"&amp;H187)</f>
        <v/>
      </c>
      <c r="K187" s="21" t="n"/>
    </row>
    <row r="188">
      <c r="E188" s="14" t="n"/>
      <c r="F188" s="21" t="n"/>
      <c r="I188" s="38">
        <f>IF(H188="","","https://www.royalmail.com/track-your-item#/tracking-results/"&amp;H188)</f>
        <v/>
      </c>
      <c r="K188" s="21" t="n"/>
    </row>
    <row r="189">
      <c r="E189" s="14" t="n"/>
      <c r="F189" s="21" t="n"/>
      <c r="I189" s="38">
        <f>IF(H189="","","https://www.royalmail.com/track-your-item#/tracking-results/"&amp;H189)</f>
        <v/>
      </c>
      <c r="K189" s="21" t="n"/>
    </row>
    <row r="190">
      <c r="E190" s="14" t="n"/>
      <c r="F190" s="21" t="n"/>
      <c r="I190" s="38">
        <f>IF(H190="","","https://www.royalmail.com/track-your-item#/tracking-results/"&amp;H190)</f>
        <v/>
      </c>
      <c r="K190" s="21" t="n"/>
    </row>
    <row r="191">
      <c r="E191" s="14" t="n"/>
      <c r="F191" s="21" t="n"/>
      <c r="I191" s="38">
        <f>IF(H191="","","https://www.royalmail.com/track-your-item#/tracking-results/"&amp;H191)</f>
        <v/>
      </c>
      <c r="K191" s="21" t="n"/>
    </row>
    <row r="192">
      <c r="E192" s="14" t="n"/>
      <c r="F192" s="21" t="n"/>
      <c r="I192" s="38">
        <f>IF(H192="","","https://www.royalmail.com/track-your-item#/tracking-results/"&amp;H192)</f>
        <v/>
      </c>
      <c r="K192" s="21" t="n"/>
    </row>
    <row r="193">
      <c r="E193" s="14" t="n"/>
      <c r="F193" s="21" t="n"/>
      <c r="I193" s="38">
        <f>IF(H193="","","https://www.royalmail.com/track-your-item#/tracking-results/"&amp;H193)</f>
        <v/>
      </c>
      <c r="K193" s="21" t="n"/>
    </row>
    <row r="194">
      <c r="E194" s="14" t="n"/>
      <c r="F194" s="21" t="n"/>
      <c r="I194" s="38">
        <f>IF(H194="","","https://www.royalmail.com/track-your-item#/tracking-results/"&amp;H194)</f>
        <v/>
      </c>
      <c r="K194" s="21" t="n"/>
    </row>
    <row r="195">
      <c r="E195" s="14" t="n"/>
      <c r="F195" s="21" t="n"/>
      <c r="I195" s="38">
        <f>IF(H195="","","https://www.royalmail.com/track-your-item#/tracking-results/"&amp;H195)</f>
        <v/>
      </c>
      <c r="K195" s="21" t="n"/>
    </row>
    <row r="196">
      <c r="E196" s="14" t="n"/>
      <c r="F196" s="21" t="n"/>
      <c r="I196" s="38">
        <f>IF(H196="","","https://www.royalmail.com/track-your-item#/tracking-results/"&amp;H196)</f>
        <v/>
      </c>
      <c r="K196" s="21" t="n"/>
    </row>
    <row r="197">
      <c r="E197" s="14" t="n"/>
      <c r="F197" s="21" t="n"/>
      <c r="I197" s="38">
        <f>IF(H197="","","https://www.royalmail.com/track-your-item#/tracking-results/"&amp;H197)</f>
        <v/>
      </c>
      <c r="K197" s="21" t="n"/>
    </row>
    <row r="198">
      <c r="E198" s="14" t="n"/>
      <c r="F198" s="21" t="n"/>
      <c r="I198" s="38">
        <f>IF(H198="","","https://www.royalmail.com/track-your-item#/tracking-results/"&amp;H198)</f>
        <v/>
      </c>
      <c r="K198" s="21" t="n"/>
    </row>
    <row r="199">
      <c r="E199" s="14" t="n"/>
      <c r="F199" s="21" t="n"/>
      <c r="I199" s="38">
        <f>IF(H199="","","https://www.royalmail.com/track-your-item#/tracking-results/"&amp;H199)</f>
        <v/>
      </c>
      <c r="K199" s="21" t="n"/>
    </row>
    <row r="200">
      <c r="E200" s="14" t="n"/>
      <c r="F200" s="21" t="n"/>
      <c r="I200" s="38">
        <f>IF(H200="","","https://www.royalmail.com/track-your-item#/tracking-results/"&amp;H200)</f>
        <v/>
      </c>
      <c r="K200" s="21" t="n"/>
    </row>
    <row r="201">
      <c r="E201" s="14" t="n"/>
      <c r="F201" s="21" t="n"/>
      <c r="I201" s="38">
        <f>IF(H201="","","https://www.royalmail.com/track-your-item#/tracking-results/"&amp;H201)</f>
        <v/>
      </c>
      <c r="K201" s="21" t="n"/>
    </row>
    <row r="202">
      <c r="E202" s="14" t="n"/>
      <c r="F202" s="21" t="n"/>
      <c r="I202" s="38">
        <f>IF(H202="","","https://www.royalmail.com/track-your-item#/tracking-results/"&amp;H202)</f>
        <v/>
      </c>
      <c r="K202" s="21" t="n"/>
    </row>
    <row r="203">
      <c r="E203" s="14" t="n"/>
      <c r="F203" s="21" t="n"/>
      <c r="I203" s="38">
        <f>IF(H203="","","https://www.royalmail.com/track-your-item#/tracking-results/"&amp;H203)</f>
        <v/>
      </c>
      <c r="K203" s="21" t="n"/>
    </row>
    <row r="204">
      <c r="E204" s="14" t="n"/>
      <c r="F204" s="21" t="n"/>
      <c r="I204" s="38">
        <f>IF(H204="","","https://www.royalmail.com/track-your-item#/tracking-results/"&amp;H204)</f>
        <v/>
      </c>
      <c r="K204" s="21" t="n"/>
    </row>
    <row r="205">
      <c r="E205" s="14" t="n"/>
      <c r="F205" s="21" t="n"/>
      <c r="I205" s="38">
        <f>IF(H205="","","https://www.royalmail.com/track-your-item#/tracking-results/"&amp;H205)</f>
        <v/>
      </c>
      <c r="K205" s="21" t="n"/>
    </row>
    <row r="206">
      <c r="E206" s="14" t="n"/>
      <c r="F206" s="21" t="n"/>
      <c r="I206" s="38">
        <f>IF(H206="","","https://www.royalmail.com/track-your-item#/tracking-results/"&amp;H206)</f>
        <v/>
      </c>
      <c r="K206" s="21" t="n"/>
    </row>
    <row r="207">
      <c r="E207" s="14" t="n"/>
      <c r="F207" s="21" t="n"/>
      <c r="I207" s="38">
        <f>IF(H207="","","https://www.royalmail.com/track-your-item#/tracking-results/"&amp;H207)</f>
        <v/>
      </c>
      <c r="K207" s="21" t="n"/>
    </row>
    <row r="208">
      <c r="E208" s="14" t="n"/>
      <c r="F208" s="21" t="n"/>
      <c r="I208" s="38">
        <f>IF(H208="","","https://www.royalmail.com/track-your-item#/tracking-results/"&amp;H208)</f>
        <v/>
      </c>
      <c r="K208" s="21" t="n"/>
    </row>
    <row r="209">
      <c r="E209" s="14" t="n"/>
      <c r="F209" s="21" t="n"/>
      <c r="I209" s="38">
        <f>IF(H209="","","https://www.royalmail.com/track-your-item#/tracking-results/"&amp;H209)</f>
        <v/>
      </c>
      <c r="K209" s="21" t="n"/>
    </row>
    <row r="210">
      <c r="E210" s="14" t="n"/>
      <c r="F210" s="21" t="n"/>
      <c r="I210" s="38">
        <f>IF(H210="","","https://www.royalmail.com/track-your-item#/tracking-results/"&amp;H210)</f>
        <v/>
      </c>
      <c r="K210" s="21" t="n"/>
    </row>
    <row r="211">
      <c r="E211" s="14" t="n"/>
      <c r="F211" s="21" t="n"/>
      <c r="I211" s="38">
        <f>IF(H211="","","https://www.royalmail.com/track-your-item#/tracking-results/"&amp;H211)</f>
        <v/>
      </c>
      <c r="K211" s="21" t="n"/>
    </row>
    <row r="212">
      <c r="E212" s="14" t="n"/>
      <c r="F212" s="21" t="n"/>
      <c r="I212" s="38">
        <f>IF(H212="","","https://www.royalmail.com/track-your-item#/tracking-results/"&amp;H212)</f>
        <v/>
      </c>
      <c r="K212" s="21" t="n"/>
    </row>
    <row r="213">
      <c r="E213" s="14" t="n"/>
      <c r="F213" s="21" t="n"/>
      <c r="I213" s="38">
        <f>IF(H213="","","https://www.royalmail.com/track-your-item#/tracking-results/"&amp;H213)</f>
        <v/>
      </c>
      <c r="K213" s="21" t="n"/>
    </row>
    <row r="214">
      <c r="E214" s="14" t="n"/>
      <c r="F214" s="21" t="n"/>
      <c r="I214" s="38">
        <f>IF(H214="","","https://www.royalmail.com/track-your-item#/tracking-results/"&amp;H214)</f>
        <v/>
      </c>
      <c r="K214" s="21" t="n"/>
    </row>
    <row r="215">
      <c r="E215" s="14" t="n"/>
      <c r="F215" s="21" t="n"/>
      <c r="I215" s="38">
        <f>IF(H215="","","https://www.royalmail.com/track-your-item#/tracking-results/"&amp;H215)</f>
        <v/>
      </c>
      <c r="K215" s="21" t="n"/>
    </row>
    <row r="216">
      <c r="E216" s="14" t="n"/>
      <c r="F216" s="21" t="n"/>
      <c r="I216" s="38">
        <f>IF(H216="","","https://www.royalmail.com/track-your-item#/tracking-results/"&amp;H216)</f>
        <v/>
      </c>
      <c r="K216" s="21" t="n"/>
    </row>
    <row r="217">
      <c r="E217" s="14" t="n"/>
      <c r="F217" s="21" t="n"/>
      <c r="I217" s="38">
        <f>IF(H217="","","https://www.royalmail.com/track-your-item#/tracking-results/"&amp;H217)</f>
        <v/>
      </c>
      <c r="K217" s="21" t="n"/>
    </row>
    <row r="218">
      <c r="E218" s="14" t="n"/>
      <c r="F218" s="21" t="n"/>
      <c r="I218" s="38">
        <f>IF(H218="","","https://www.royalmail.com/track-your-item#/tracking-results/"&amp;H218)</f>
        <v/>
      </c>
      <c r="K218" s="21" t="n"/>
    </row>
    <row r="219">
      <c r="E219" s="14" t="n"/>
      <c r="F219" s="21" t="n"/>
      <c r="I219" s="38">
        <f>IF(H219="","","https://www.royalmail.com/track-your-item#/tracking-results/"&amp;H219)</f>
        <v/>
      </c>
      <c r="K219" s="21" t="n"/>
    </row>
    <row r="220">
      <c r="E220" s="14" t="n"/>
      <c r="F220" s="21" t="n"/>
      <c r="I220" s="38">
        <f>IF(H220="","","https://www.royalmail.com/track-your-item#/tracking-results/"&amp;H220)</f>
        <v/>
      </c>
      <c r="K220" s="21" t="n"/>
    </row>
    <row r="221">
      <c r="E221" s="14" t="n"/>
      <c r="F221" s="21" t="n"/>
      <c r="I221" s="38">
        <f>IF(H221="","","https://www.royalmail.com/track-your-item#/tracking-results/"&amp;H221)</f>
        <v/>
      </c>
      <c r="K221" s="21" t="n"/>
    </row>
    <row r="222">
      <c r="E222" s="14" t="n"/>
      <c r="F222" s="21" t="n"/>
      <c r="I222" s="38">
        <f>IF(H222="","","https://www.royalmail.com/track-your-item#/tracking-results/"&amp;H222)</f>
        <v/>
      </c>
      <c r="K222" s="21" t="n"/>
    </row>
    <row r="223">
      <c r="E223" s="14" t="n"/>
      <c r="F223" s="21" t="n"/>
      <c r="I223" s="38">
        <f>IF(H223="","","https://www.royalmail.com/track-your-item#/tracking-results/"&amp;H223)</f>
        <v/>
      </c>
      <c r="K223" s="21" t="n"/>
    </row>
    <row r="224">
      <c r="E224" s="14" t="n"/>
      <c r="F224" s="21" t="n"/>
      <c r="I224" s="38">
        <f>IF(H224="","","https://www.royalmail.com/track-your-item#/tracking-results/"&amp;H224)</f>
        <v/>
      </c>
      <c r="K224" s="21" t="n"/>
    </row>
    <row r="225">
      <c r="E225" s="14" t="n"/>
      <c r="F225" s="21" t="n"/>
      <c r="I225" s="38">
        <f>IF(H225="","","https://www.royalmail.com/track-your-item#/tracking-results/"&amp;H225)</f>
        <v/>
      </c>
      <c r="K225" s="21" t="n"/>
    </row>
    <row r="226">
      <c r="E226" s="14" t="n"/>
      <c r="F226" s="21" t="n"/>
      <c r="I226" s="38">
        <f>IF(H226="","","https://www.royalmail.com/track-your-item#/tracking-results/"&amp;H226)</f>
        <v/>
      </c>
      <c r="K226" s="21" t="n"/>
    </row>
    <row r="227">
      <c r="E227" s="14" t="n"/>
      <c r="F227" s="21" t="n"/>
      <c r="I227" s="38">
        <f>IF(H227="","","https://www.royalmail.com/track-your-item#/tracking-results/"&amp;H227)</f>
        <v/>
      </c>
      <c r="K227" s="21" t="n"/>
    </row>
    <row r="228">
      <c r="E228" s="14" t="n"/>
      <c r="F228" s="21" t="n"/>
      <c r="I228" s="38">
        <f>IF(H228="","","https://www.royalmail.com/track-your-item#/tracking-results/"&amp;H228)</f>
        <v/>
      </c>
      <c r="K228" s="21" t="n"/>
    </row>
    <row r="229">
      <c r="E229" s="14" t="n"/>
      <c r="F229" s="21" t="n"/>
      <c r="I229" s="38">
        <f>IF(H229="","","https://www.royalmail.com/track-your-item#/tracking-results/"&amp;H229)</f>
        <v/>
      </c>
      <c r="K229" s="21" t="n"/>
    </row>
    <row r="230">
      <c r="E230" s="14" t="n"/>
      <c r="F230" s="21" t="n"/>
      <c r="I230" s="38">
        <f>IF(H230="","","https://www.royalmail.com/track-your-item#/tracking-results/"&amp;H230)</f>
        <v/>
      </c>
      <c r="K230" s="21" t="n"/>
    </row>
    <row r="231">
      <c r="E231" s="14" t="n"/>
      <c r="F231" s="21" t="n"/>
      <c r="I231" s="38">
        <f>IF(H231="","","https://www.royalmail.com/track-your-item#/tracking-results/"&amp;H231)</f>
        <v/>
      </c>
      <c r="K231" s="21" t="n"/>
    </row>
    <row r="232">
      <c r="E232" s="14" t="n"/>
      <c r="F232" s="21" t="n"/>
      <c r="I232" s="38">
        <f>IF(H232="","","https://www.royalmail.com/track-your-item#/tracking-results/"&amp;H232)</f>
        <v/>
      </c>
      <c r="K232" s="21" t="n"/>
    </row>
    <row r="233">
      <c r="E233" s="14" t="n"/>
      <c r="F233" s="21" t="n"/>
      <c r="I233" s="38">
        <f>IF(H233="","","https://www.royalmail.com/track-your-item#/tracking-results/"&amp;H233)</f>
        <v/>
      </c>
      <c r="K233" s="21" t="n"/>
    </row>
    <row r="234">
      <c r="E234" s="14" t="n"/>
      <c r="F234" s="21" t="n"/>
      <c r="I234" s="38">
        <f>IF(H234="","","https://www.royalmail.com/track-your-item#/tracking-results/"&amp;H234)</f>
        <v/>
      </c>
      <c r="K234" s="21" t="n"/>
    </row>
    <row r="235">
      <c r="E235" s="14" t="n"/>
      <c r="F235" s="21" t="n"/>
      <c r="I235" s="38">
        <f>IF(H235="","","https://www.royalmail.com/track-your-item#/tracking-results/"&amp;H235)</f>
        <v/>
      </c>
      <c r="K235" s="21" t="n"/>
    </row>
    <row r="236">
      <c r="E236" s="14" t="n"/>
      <c r="F236" s="21" t="n"/>
      <c r="I236" s="38">
        <f>IF(H236="","","https://www.royalmail.com/track-your-item#/tracking-results/"&amp;H236)</f>
        <v/>
      </c>
      <c r="K236" s="21" t="n"/>
    </row>
    <row r="237">
      <c r="E237" s="14" t="n"/>
      <c r="F237" s="21" t="n"/>
      <c r="I237" s="38">
        <f>IF(H237="","","https://www.royalmail.com/track-your-item#/tracking-results/"&amp;H237)</f>
        <v/>
      </c>
      <c r="K237" s="21" t="n"/>
    </row>
    <row r="238">
      <c r="E238" s="14" t="n"/>
      <c r="F238" s="21" t="n"/>
      <c r="I238" s="38">
        <f>IF(H238="","","https://www.royalmail.com/track-your-item#/tracking-results/"&amp;H238)</f>
        <v/>
      </c>
      <c r="K238" s="21" t="n"/>
    </row>
    <row r="239">
      <c r="E239" s="14" t="n"/>
      <c r="F239" s="21" t="n"/>
      <c r="I239" s="38">
        <f>IF(H239="","","https://www.royalmail.com/track-your-item#/tracking-results/"&amp;H239)</f>
        <v/>
      </c>
      <c r="K239" s="21" t="n"/>
    </row>
    <row r="240">
      <c r="E240" s="14" t="n"/>
      <c r="F240" s="21" t="n"/>
      <c r="I240" s="38">
        <f>IF(H240="","","https://www.royalmail.com/track-your-item#/tracking-results/"&amp;H240)</f>
        <v/>
      </c>
      <c r="K240" s="21" t="n"/>
    </row>
    <row r="241">
      <c r="E241" s="14" t="n"/>
      <c r="F241" s="21" t="n"/>
      <c r="I241" s="38">
        <f>IF(H241="","","https://www.royalmail.com/track-your-item#/tracking-results/"&amp;H241)</f>
        <v/>
      </c>
      <c r="K241" s="21" t="n"/>
    </row>
    <row r="242">
      <c r="E242" s="14" t="n"/>
      <c r="F242" s="21" t="n"/>
      <c r="I242" s="38">
        <f>IF(H242="","","https://www.royalmail.com/track-your-item#/tracking-results/"&amp;H242)</f>
        <v/>
      </c>
      <c r="K242" s="21" t="n"/>
    </row>
    <row r="243">
      <c r="E243" s="14" t="n"/>
      <c r="F243" s="21" t="n"/>
      <c r="I243" s="38">
        <f>IF(H243="","","https://www.royalmail.com/track-your-item#/tracking-results/"&amp;H243)</f>
        <v/>
      </c>
      <c r="K243" s="21" t="n"/>
    </row>
    <row r="244">
      <c r="E244" s="14" t="n"/>
      <c r="F244" s="21" t="n"/>
      <c r="I244" s="38">
        <f>IF(H244="","","https://www.royalmail.com/track-your-item#/tracking-results/"&amp;H244)</f>
        <v/>
      </c>
      <c r="K244" s="21" t="n"/>
    </row>
    <row r="245">
      <c r="E245" s="14" t="n"/>
      <c r="F245" s="21" t="n"/>
      <c r="I245" s="38">
        <f>IF(H245="","","https://www.royalmail.com/track-your-item#/tracking-results/"&amp;H245)</f>
        <v/>
      </c>
      <c r="K245" s="21" t="n"/>
    </row>
    <row r="246">
      <c r="E246" s="14" t="n"/>
      <c r="F246" s="21" t="n"/>
      <c r="I246" s="38">
        <f>IF(H246="","","https://www.royalmail.com/track-your-item#/tracking-results/"&amp;H246)</f>
        <v/>
      </c>
      <c r="K246" s="21" t="n"/>
    </row>
    <row r="247">
      <c r="E247" s="14" t="n"/>
      <c r="F247" s="21" t="n"/>
      <c r="I247" s="38">
        <f>IF(H247="","","https://www.royalmail.com/track-your-item#/tracking-results/"&amp;H247)</f>
        <v/>
      </c>
      <c r="K247" s="21" t="n"/>
    </row>
    <row r="248">
      <c r="E248" s="14" t="n"/>
      <c r="F248" s="21" t="n"/>
      <c r="I248" s="38">
        <f>IF(H248="","","https://www.royalmail.com/track-your-item#/tracking-results/"&amp;H248)</f>
        <v/>
      </c>
      <c r="K248" s="21" t="n"/>
    </row>
    <row r="249">
      <c r="E249" s="14" t="n"/>
      <c r="F249" s="21" t="n"/>
      <c r="I249" s="38">
        <f>IF(H249="","","https://www.royalmail.com/track-your-item#/tracking-results/"&amp;H249)</f>
        <v/>
      </c>
      <c r="K249" s="21" t="n"/>
    </row>
    <row r="250">
      <c r="E250" s="14" t="n"/>
      <c r="F250" s="21" t="n"/>
      <c r="I250" s="38">
        <f>IF(H250="","","https://www.royalmail.com/track-your-item#/tracking-results/"&amp;H250)</f>
        <v/>
      </c>
      <c r="K250" s="21" t="n"/>
    </row>
    <row r="251">
      <c r="E251" s="14" t="n"/>
      <c r="F251" s="21" t="n"/>
      <c r="I251" s="38">
        <f>IF(H251="","","https://www.royalmail.com/track-your-item#/tracking-results/"&amp;H251)</f>
        <v/>
      </c>
      <c r="K251" s="21" t="n"/>
    </row>
    <row r="252">
      <c r="E252" s="14" t="n"/>
      <c r="F252" s="21" t="n"/>
      <c r="I252" s="38">
        <f>IF(H252="","","https://www.royalmail.com/track-your-item#/tracking-results/"&amp;H252)</f>
        <v/>
      </c>
      <c r="K252" s="21" t="n"/>
    </row>
    <row r="253">
      <c r="E253" s="14" t="n"/>
      <c r="F253" s="21" t="n"/>
      <c r="I253" s="38">
        <f>IF(H253="","","https://www.royalmail.com/track-your-item#/tracking-results/"&amp;H253)</f>
        <v/>
      </c>
      <c r="K253" s="21" t="n"/>
    </row>
    <row r="254">
      <c r="E254" s="14" t="n"/>
      <c r="F254" s="21" t="n"/>
      <c r="I254" s="38">
        <f>IF(H254="","","https://www.royalmail.com/track-your-item#/tracking-results/"&amp;H254)</f>
        <v/>
      </c>
      <c r="K254" s="21" t="n"/>
    </row>
    <row r="255">
      <c r="E255" s="14" t="n"/>
      <c r="F255" s="21" t="n"/>
      <c r="I255" s="38">
        <f>IF(H255="","","https://www.royalmail.com/track-your-item#/tracking-results/"&amp;H255)</f>
        <v/>
      </c>
      <c r="K255" s="21" t="n"/>
    </row>
    <row r="256">
      <c r="E256" s="14" t="n"/>
      <c r="F256" s="21" t="n"/>
      <c r="I256" s="38">
        <f>IF(H256="","","https://www.royalmail.com/track-your-item#/tracking-results/"&amp;H256)</f>
        <v/>
      </c>
      <c r="K256" s="21" t="n"/>
    </row>
    <row r="257">
      <c r="E257" s="14" t="n"/>
      <c r="F257" s="21" t="n"/>
      <c r="I257" s="38">
        <f>IF(H257="","","https://www.royalmail.com/track-your-item#/tracking-results/"&amp;H257)</f>
        <v/>
      </c>
      <c r="K257" s="21" t="n"/>
    </row>
    <row r="258">
      <c r="E258" s="14" t="n"/>
      <c r="F258" s="21" t="n"/>
      <c r="I258" s="38">
        <f>IF(H258="","","https://www.royalmail.com/track-your-item#/tracking-results/"&amp;H258)</f>
        <v/>
      </c>
      <c r="K258" s="21" t="n"/>
    </row>
    <row r="259">
      <c r="E259" s="14" t="n"/>
      <c r="F259" s="21" t="n"/>
      <c r="I259" s="38">
        <f>IF(H259="","","https://www.royalmail.com/track-your-item#/tracking-results/"&amp;H259)</f>
        <v/>
      </c>
      <c r="K259" s="21" t="n"/>
    </row>
    <row r="260">
      <c r="E260" s="14" t="n"/>
      <c r="F260" s="21" t="n"/>
      <c r="I260" s="38">
        <f>IF(H260="","","https://www.royalmail.com/track-your-item#/tracking-results/"&amp;H260)</f>
        <v/>
      </c>
      <c r="K260" s="21" t="n"/>
    </row>
    <row r="261">
      <c r="E261" s="14" t="n"/>
      <c r="F261" s="21" t="n"/>
      <c r="I261" s="38">
        <f>IF(H261="","","https://www.royalmail.com/track-your-item#/tracking-results/"&amp;H261)</f>
        <v/>
      </c>
      <c r="K261" s="21" t="n"/>
    </row>
    <row r="262">
      <c r="E262" s="14" t="n"/>
      <c r="F262" s="21" t="n"/>
      <c r="I262" s="38">
        <f>IF(H262="","","https://www.royalmail.com/track-your-item#/tracking-results/"&amp;H262)</f>
        <v/>
      </c>
      <c r="K262" s="21" t="n"/>
    </row>
    <row r="263">
      <c r="E263" s="14" t="n"/>
      <c r="F263" s="21" t="n"/>
      <c r="I263" s="38">
        <f>IF(H263="","","https://www.royalmail.com/track-your-item#/tracking-results/"&amp;H263)</f>
        <v/>
      </c>
      <c r="K263" s="21" t="n"/>
    </row>
    <row r="264">
      <c r="E264" s="14" t="n"/>
      <c r="F264" s="21" t="n"/>
      <c r="I264" s="38">
        <f>IF(H264="","","https://www.royalmail.com/track-your-item#/tracking-results/"&amp;H264)</f>
        <v/>
      </c>
      <c r="K264" s="21" t="n"/>
    </row>
    <row r="265">
      <c r="E265" s="14" t="n"/>
      <c r="F265" s="21" t="n"/>
      <c r="I265" s="38">
        <f>IF(H265="","","https://www.royalmail.com/track-your-item#/tracking-results/"&amp;H265)</f>
        <v/>
      </c>
      <c r="K265" s="21" t="n"/>
    </row>
    <row r="266">
      <c r="E266" s="14" t="n"/>
      <c r="F266" s="21" t="n"/>
      <c r="I266" s="38">
        <f>IF(H266="","","https://www.royalmail.com/track-your-item#/tracking-results/"&amp;H266)</f>
        <v/>
      </c>
      <c r="K266" s="21" t="n"/>
    </row>
    <row r="267">
      <c r="E267" s="14" t="n"/>
      <c r="F267" s="21" t="n"/>
      <c r="I267" s="38">
        <f>IF(H267="","","https://www.royalmail.com/track-your-item#/tracking-results/"&amp;H267)</f>
        <v/>
      </c>
      <c r="K267" s="21" t="n"/>
    </row>
    <row r="268">
      <c r="E268" s="14" t="n"/>
      <c r="F268" s="21" t="n"/>
      <c r="I268" s="38">
        <f>IF(H268="","","https://www.royalmail.com/track-your-item#/tracking-results/"&amp;H268)</f>
        <v/>
      </c>
      <c r="K268" s="21" t="n"/>
    </row>
    <row r="269">
      <c r="E269" s="14" t="n"/>
      <c r="F269" s="21" t="n"/>
      <c r="I269" s="38">
        <f>IF(H269="","","https://www.royalmail.com/track-your-item#/tracking-results/"&amp;H269)</f>
        <v/>
      </c>
      <c r="K269" s="21" t="n"/>
    </row>
    <row r="270">
      <c r="E270" s="14" t="n"/>
      <c r="F270" s="21" t="n"/>
      <c r="I270" s="38">
        <f>IF(H270="","","https://www.royalmail.com/track-your-item#/tracking-results/"&amp;H270)</f>
        <v/>
      </c>
      <c r="K270" s="21" t="n"/>
    </row>
    <row r="271">
      <c r="E271" s="14" t="n"/>
      <c r="F271" s="21" t="n"/>
      <c r="I271" s="38">
        <f>IF(H271="","","https://www.royalmail.com/track-your-item#/tracking-results/"&amp;H271)</f>
        <v/>
      </c>
      <c r="K271" s="21" t="n"/>
    </row>
    <row r="272">
      <c r="E272" s="14" t="n"/>
      <c r="F272" s="21" t="n"/>
      <c r="I272" s="38">
        <f>IF(H272="","","https://www.royalmail.com/track-your-item#/tracking-results/"&amp;H272)</f>
        <v/>
      </c>
      <c r="K272" s="21" t="n"/>
    </row>
    <row r="273">
      <c r="E273" s="14" t="n"/>
      <c r="F273" s="21" t="n"/>
      <c r="I273" s="38">
        <f>IF(H273="","","https://www.royalmail.com/track-your-item#/tracking-results/"&amp;H273)</f>
        <v/>
      </c>
      <c r="K273" s="21" t="n"/>
    </row>
    <row r="274">
      <c r="E274" s="14" t="n"/>
      <c r="F274" s="21" t="n"/>
      <c r="I274" s="38">
        <f>IF(H274="","","https://www.royalmail.com/track-your-item#/tracking-results/"&amp;H274)</f>
        <v/>
      </c>
      <c r="K274" s="21" t="n"/>
    </row>
    <row r="275">
      <c r="E275" s="14" t="n"/>
      <c r="F275" s="21" t="n"/>
      <c r="I275" s="38">
        <f>IF(H275="","","https://www.royalmail.com/track-your-item#/tracking-results/"&amp;H275)</f>
        <v/>
      </c>
      <c r="K275" s="21" t="n"/>
    </row>
    <row r="276">
      <c r="E276" s="14" t="n"/>
      <c r="F276" s="21" t="n"/>
      <c r="I276" s="38">
        <f>IF(H276="","","https://www.royalmail.com/track-your-item#/tracking-results/"&amp;H276)</f>
        <v/>
      </c>
      <c r="K276" s="21" t="n"/>
    </row>
    <row r="277">
      <c r="E277" s="14" t="n"/>
      <c r="F277" s="21" t="n"/>
      <c r="I277" s="38">
        <f>IF(H277="","","https://www.royalmail.com/track-your-item#/tracking-results/"&amp;H277)</f>
        <v/>
      </c>
      <c r="K277" s="21" t="n"/>
    </row>
    <row r="278">
      <c r="E278" s="14" t="n"/>
      <c r="F278" s="21" t="n"/>
      <c r="I278" s="38">
        <f>IF(H278="","","https://www.royalmail.com/track-your-item#/tracking-results/"&amp;H278)</f>
        <v/>
      </c>
      <c r="K278" s="21" t="n"/>
    </row>
    <row r="279">
      <c r="E279" s="14" t="n"/>
      <c r="F279" s="21" t="n"/>
      <c r="I279" s="38">
        <f>IF(H279="","","https://www.royalmail.com/track-your-item#/tracking-results/"&amp;H279)</f>
        <v/>
      </c>
      <c r="K279" s="21" t="n"/>
    </row>
    <row r="280">
      <c r="E280" s="14" t="n"/>
      <c r="F280" s="21" t="n"/>
      <c r="I280" s="38">
        <f>IF(H280="","","https://www.royalmail.com/track-your-item#/tracking-results/"&amp;H280)</f>
        <v/>
      </c>
      <c r="K280" s="21" t="n"/>
    </row>
    <row r="281">
      <c r="E281" s="14" t="n"/>
      <c r="F281" s="21" t="n"/>
      <c r="I281" s="38">
        <f>IF(H281="","","https://www.royalmail.com/track-your-item#/tracking-results/"&amp;H281)</f>
        <v/>
      </c>
      <c r="K281" s="21" t="n"/>
    </row>
    <row r="282">
      <c r="E282" s="14" t="n"/>
      <c r="F282" s="21" t="n"/>
      <c r="I282" s="38">
        <f>IF(H282="","","https://www.royalmail.com/track-your-item#/tracking-results/"&amp;H282)</f>
        <v/>
      </c>
      <c r="K282" s="21" t="n"/>
    </row>
    <row r="283">
      <c r="E283" s="14" t="n"/>
      <c r="F283" s="21" t="n"/>
      <c r="I283" s="38">
        <f>IF(H283="","","https://www.royalmail.com/track-your-item#/tracking-results/"&amp;H283)</f>
        <v/>
      </c>
      <c r="K283" s="21" t="n"/>
    </row>
    <row r="284">
      <c r="E284" s="14" t="n"/>
      <c r="F284" s="21" t="n"/>
      <c r="I284" s="38">
        <f>IF(H284="","","https://www.royalmail.com/track-your-item#/tracking-results/"&amp;H284)</f>
        <v/>
      </c>
      <c r="K284" s="21" t="n"/>
    </row>
    <row r="285">
      <c r="E285" s="14" t="n"/>
      <c r="F285" s="21" t="n"/>
      <c r="I285" s="38">
        <f>IF(H285="","","https://www.royalmail.com/track-your-item#/tracking-results/"&amp;H285)</f>
        <v/>
      </c>
      <c r="K285" s="21" t="n"/>
    </row>
    <row r="286">
      <c r="E286" s="14" t="n"/>
      <c r="F286" s="21" t="n"/>
      <c r="I286" s="38">
        <f>IF(H286="","","https://www.royalmail.com/track-your-item#/tracking-results/"&amp;H286)</f>
        <v/>
      </c>
      <c r="K286" s="21" t="n"/>
    </row>
    <row r="287">
      <c r="E287" s="14" t="n"/>
      <c r="F287" s="21" t="n"/>
      <c r="I287" s="38">
        <f>IF(H287="","","https://www.royalmail.com/track-your-item#/tracking-results/"&amp;H287)</f>
        <v/>
      </c>
      <c r="K287" s="21" t="n"/>
    </row>
    <row r="288">
      <c r="E288" s="14" t="n"/>
      <c r="F288" s="21" t="n"/>
      <c r="I288" s="38">
        <f>IF(H288="","","https://www.royalmail.com/track-your-item#/tracking-results/"&amp;H288)</f>
        <v/>
      </c>
      <c r="K288" s="21" t="n"/>
    </row>
    <row r="289">
      <c r="E289" s="14" t="n"/>
      <c r="F289" s="21" t="n"/>
      <c r="I289" s="38">
        <f>IF(H289="","","https://www.royalmail.com/track-your-item#/tracking-results/"&amp;H289)</f>
        <v/>
      </c>
      <c r="K289" s="21" t="n"/>
    </row>
    <row r="290">
      <c r="E290" s="14" t="n"/>
      <c r="F290" s="21" t="n"/>
      <c r="I290" s="38">
        <f>IF(H290="","","https://www.royalmail.com/track-your-item#/tracking-results/"&amp;H290)</f>
        <v/>
      </c>
      <c r="K290" s="21" t="n"/>
    </row>
    <row r="291">
      <c r="E291" s="14" t="n"/>
      <c r="F291" s="21" t="n"/>
      <c r="I291" s="38">
        <f>IF(H291="","","https://www.royalmail.com/track-your-item#/tracking-results/"&amp;H291)</f>
        <v/>
      </c>
      <c r="K291" s="21" t="n"/>
    </row>
    <row r="292">
      <c r="E292" s="14" t="n"/>
      <c r="F292" s="21" t="n"/>
      <c r="I292" s="38">
        <f>IF(H292="","","https://www.royalmail.com/track-your-item#/tracking-results/"&amp;H292)</f>
        <v/>
      </c>
      <c r="K292" s="21" t="n"/>
    </row>
    <row r="293">
      <c r="E293" s="14" t="n"/>
      <c r="F293" s="21" t="n"/>
      <c r="I293" s="38">
        <f>IF(H293="","","https://www.royalmail.com/track-your-item#/tracking-results/"&amp;H293)</f>
        <v/>
      </c>
      <c r="K293" s="21" t="n"/>
    </row>
    <row r="294">
      <c r="E294" s="14" t="n"/>
      <c r="F294" s="21" t="n"/>
      <c r="I294" s="38">
        <f>IF(H294="","","https://www.royalmail.com/track-your-item#/tracking-results/"&amp;H294)</f>
        <v/>
      </c>
      <c r="K294" s="21" t="n"/>
    </row>
    <row r="295">
      <c r="E295" s="14" t="n"/>
      <c r="F295" s="21" t="n"/>
      <c r="I295" s="38">
        <f>IF(H295="","","https://www.royalmail.com/track-your-item#/tracking-results/"&amp;H295)</f>
        <v/>
      </c>
      <c r="K295" s="21" t="n"/>
    </row>
    <row r="296">
      <c r="E296" s="14" t="n"/>
      <c r="F296" s="21" t="n"/>
      <c r="I296" s="38">
        <f>IF(H296="","","https://www.royalmail.com/track-your-item#/tracking-results/"&amp;H296)</f>
        <v/>
      </c>
      <c r="K296" s="21" t="n"/>
    </row>
    <row r="297">
      <c r="E297" s="14" t="n"/>
      <c r="F297" s="21" t="n"/>
      <c r="I297" s="38">
        <f>IF(H297="","","https://www.royalmail.com/track-your-item#/tracking-results/"&amp;H297)</f>
        <v/>
      </c>
      <c r="K297" s="21" t="n"/>
    </row>
    <row r="298">
      <c r="E298" s="14" t="n"/>
      <c r="F298" s="21" t="n"/>
      <c r="I298" s="38">
        <f>IF(H298="","","https://www.royalmail.com/track-your-item#/tracking-results/"&amp;H298)</f>
        <v/>
      </c>
      <c r="K298" s="21" t="n"/>
    </row>
    <row r="299">
      <c r="E299" s="14" t="n"/>
      <c r="F299" s="21" t="n"/>
      <c r="I299" s="38">
        <f>IF(H299="","","https://www.royalmail.com/track-your-item#/tracking-results/"&amp;H299)</f>
        <v/>
      </c>
      <c r="K299" s="21" t="n"/>
    </row>
    <row r="300">
      <c r="E300" s="14" t="n"/>
      <c r="F300" s="21" t="n"/>
      <c r="I300" s="38">
        <f>IF(H300="","","https://www.royalmail.com/track-your-item#/tracking-results/"&amp;H300)</f>
        <v/>
      </c>
      <c r="K300" s="21" t="n"/>
    </row>
    <row r="301">
      <c r="E301" s="14" t="n"/>
      <c r="F301" s="21" t="n"/>
      <c r="I301" s="38">
        <f>IF(H301="","","https://www.royalmail.com/track-your-item#/tracking-results/"&amp;H301)</f>
        <v/>
      </c>
      <c r="K301" s="21" t="n"/>
    </row>
    <row r="302">
      <c r="E302" s="14" t="n"/>
      <c r="F302" s="21" t="n"/>
      <c r="I302" s="38">
        <f>IF(H302="","","https://www.royalmail.com/track-your-item#/tracking-results/"&amp;H302)</f>
        <v/>
      </c>
      <c r="K302" s="21" t="n"/>
    </row>
    <row r="303">
      <c r="E303" s="14" t="n"/>
      <c r="F303" s="21" t="n"/>
      <c r="I303" s="38">
        <f>IF(H303="","","https://www.royalmail.com/track-your-item#/tracking-results/"&amp;H303)</f>
        <v/>
      </c>
      <c r="K303" s="21" t="n"/>
    </row>
    <row r="304">
      <c r="E304" s="14" t="n"/>
      <c r="F304" s="21" t="n"/>
      <c r="I304" s="38">
        <f>IF(H304="","","https://www.royalmail.com/track-your-item#/tracking-results/"&amp;H304)</f>
        <v/>
      </c>
      <c r="K304" s="21" t="n"/>
    </row>
    <row r="305">
      <c r="E305" s="14" t="n"/>
      <c r="F305" s="21" t="n"/>
      <c r="I305" s="38">
        <f>IF(H305="","","https://www.royalmail.com/track-your-item#/tracking-results/"&amp;H305)</f>
        <v/>
      </c>
      <c r="K305" s="21" t="n"/>
    </row>
    <row r="306">
      <c r="E306" s="14" t="n"/>
      <c r="F306" s="21" t="n"/>
      <c r="I306" s="38">
        <f>IF(H306="","","https://www.royalmail.com/track-your-item#/tracking-results/"&amp;H306)</f>
        <v/>
      </c>
      <c r="K306" s="21" t="n"/>
    </row>
    <row r="307">
      <c r="E307" s="14" t="n"/>
      <c r="F307" s="21" t="n"/>
      <c r="I307" s="38">
        <f>IF(H307="","","https://www.royalmail.com/track-your-item#/tracking-results/"&amp;H307)</f>
        <v/>
      </c>
      <c r="K307" s="21" t="n"/>
    </row>
    <row r="308">
      <c r="E308" s="14" t="n"/>
      <c r="F308" s="21" t="n"/>
      <c r="I308" s="38">
        <f>IF(H308="","","https://www.royalmail.com/track-your-item#/tracking-results/"&amp;H308)</f>
        <v/>
      </c>
      <c r="K308" s="21" t="n"/>
    </row>
    <row r="309">
      <c r="E309" s="14" t="n"/>
      <c r="F309" s="21" t="n"/>
      <c r="I309" s="38">
        <f>IF(H309="","","https://www.royalmail.com/track-your-item#/tracking-results/"&amp;H309)</f>
        <v/>
      </c>
      <c r="K309" s="21" t="n"/>
    </row>
    <row r="310">
      <c r="E310" s="14" t="n"/>
      <c r="F310" s="21" t="n"/>
      <c r="I310" s="38">
        <f>IF(H310="","","https://www.royalmail.com/track-your-item#/tracking-results/"&amp;H310)</f>
        <v/>
      </c>
      <c r="K310" s="21" t="n"/>
    </row>
    <row r="311">
      <c r="E311" s="14" t="n"/>
      <c r="F311" s="21" t="n"/>
      <c r="I311" s="38">
        <f>IF(H311="","","https://www.royalmail.com/track-your-item#/tracking-results/"&amp;H311)</f>
        <v/>
      </c>
      <c r="K311" s="21" t="n"/>
    </row>
    <row r="312">
      <c r="E312" s="14" t="n"/>
      <c r="F312" s="21" t="n"/>
      <c r="I312" s="38">
        <f>IF(H312="","","https://www.royalmail.com/track-your-item#/tracking-results/"&amp;H312)</f>
        <v/>
      </c>
      <c r="K312" s="21" t="n"/>
    </row>
    <row r="313">
      <c r="E313" s="14" t="n"/>
      <c r="F313" s="21" t="n"/>
      <c r="I313" s="38">
        <f>IF(H313="","","https://www.royalmail.com/track-your-item#/tracking-results/"&amp;H313)</f>
        <v/>
      </c>
      <c r="K313" s="21" t="n"/>
    </row>
    <row r="314">
      <c r="E314" s="14" t="n"/>
      <c r="F314" s="21" t="n"/>
      <c r="I314" s="38">
        <f>IF(H314="","","https://www.royalmail.com/track-your-item#/tracking-results/"&amp;H314)</f>
        <v/>
      </c>
      <c r="K314" s="21" t="n"/>
    </row>
    <row r="315">
      <c r="E315" s="14" t="n"/>
      <c r="F315" s="21" t="n"/>
      <c r="I315" s="38">
        <f>IF(H315="","","https://www.royalmail.com/track-your-item#/tracking-results/"&amp;H315)</f>
        <v/>
      </c>
      <c r="K315" s="21" t="n"/>
    </row>
    <row r="316">
      <c r="E316" s="14" t="n"/>
      <c r="F316" s="21" t="n"/>
      <c r="I316" s="38">
        <f>IF(H316="","","https://www.royalmail.com/track-your-item#/tracking-results/"&amp;H316)</f>
        <v/>
      </c>
      <c r="K316" s="21" t="n"/>
    </row>
    <row r="317">
      <c r="E317" s="14" t="n"/>
      <c r="F317" s="21" t="n"/>
      <c r="I317" s="38">
        <f>IF(H317="","","https://www.royalmail.com/track-your-item#/tracking-results/"&amp;H317)</f>
        <v/>
      </c>
      <c r="K317" s="21" t="n"/>
    </row>
    <row r="318">
      <c r="E318" s="14" t="n"/>
      <c r="F318" s="21" t="n"/>
      <c r="I318" s="38">
        <f>IF(H318="","","https://www.royalmail.com/track-your-item#/tracking-results/"&amp;H318)</f>
        <v/>
      </c>
      <c r="K318" s="21" t="n"/>
    </row>
    <row r="319">
      <c r="E319" s="14" t="n"/>
      <c r="F319" s="21" t="n"/>
      <c r="I319" s="38">
        <f>IF(H319="","","https://www.royalmail.com/track-your-item#/tracking-results/"&amp;H319)</f>
        <v/>
      </c>
      <c r="K319" s="21" t="n"/>
    </row>
    <row r="320">
      <c r="E320" s="14" t="n"/>
      <c r="F320" s="21" t="n"/>
      <c r="I320" s="38">
        <f>IF(H320="","","https://www.royalmail.com/track-your-item#/tracking-results/"&amp;H320)</f>
        <v/>
      </c>
      <c r="K320" s="21" t="n"/>
    </row>
    <row r="321">
      <c r="E321" s="14" t="n"/>
      <c r="F321" s="21" t="n"/>
      <c r="I321" s="38">
        <f>IF(H321="","","https://www.royalmail.com/track-your-item#/tracking-results/"&amp;H321)</f>
        <v/>
      </c>
      <c r="K321" s="21" t="n"/>
    </row>
    <row r="322">
      <c r="E322" s="14" t="n"/>
      <c r="F322" s="21" t="n"/>
      <c r="I322" s="38">
        <f>IF(H322="","","https://www.royalmail.com/track-your-item#/tracking-results/"&amp;H322)</f>
        <v/>
      </c>
      <c r="K322" s="21" t="n"/>
    </row>
    <row r="323">
      <c r="E323" s="14" t="n"/>
      <c r="F323" s="21" t="n"/>
      <c r="I323" s="38">
        <f>IF(H323="","","https://www.royalmail.com/track-your-item#/tracking-results/"&amp;H323)</f>
        <v/>
      </c>
      <c r="K323" s="21" t="n"/>
    </row>
    <row r="324">
      <c r="E324" s="14" t="n"/>
      <c r="F324" s="21" t="n"/>
      <c r="I324" s="38">
        <f>IF(H324="","","https://www.royalmail.com/track-your-item#/tracking-results/"&amp;H324)</f>
        <v/>
      </c>
      <c r="K324" s="21" t="n"/>
    </row>
    <row r="325">
      <c r="E325" s="14" t="n"/>
      <c r="F325" s="21" t="n"/>
      <c r="I325" s="38">
        <f>IF(H325="","","https://www.royalmail.com/track-your-item#/tracking-results/"&amp;H325)</f>
        <v/>
      </c>
      <c r="K325" s="21" t="n"/>
    </row>
    <row r="326">
      <c r="E326" s="14" t="n"/>
      <c r="F326" s="21" t="n"/>
      <c r="I326" s="38">
        <f>IF(H326="","","https://www.royalmail.com/track-your-item#/tracking-results/"&amp;H326)</f>
        <v/>
      </c>
      <c r="K326" s="21" t="n"/>
    </row>
    <row r="327">
      <c r="E327" s="14" t="n"/>
      <c r="F327" s="21" t="n"/>
      <c r="I327" s="38">
        <f>IF(H327="","","https://www.royalmail.com/track-your-item#/tracking-results/"&amp;H327)</f>
        <v/>
      </c>
      <c r="K327" s="21" t="n"/>
    </row>
    <row r="328">
      <c r="E328" s="14" t="n"/>
      <c r="F328" s="21" t="n"/>
      <c r="I328" s="38">
        <f>IF(H328="","","https://www.royalmail.com/track-your-item#/tracking-results/"&amp;H328)</f>
        <v/>
      </c>
      <c r="K328" s="21" t="n"/>
    </row>
    <row r="329">
      <c r="E329" s="14" t="n"/>
      <c r="F329" s="21" t="n"/>
      <c r="I329" s="38">
        <f>IF(H329="","","https://www.royalmail.com/track-your-item#/tracking-results/"&amp;H329)</f>
        <v/>
      </c>
      <c r="K329" s="21" t="n"/>
    </row>
    <row r="330">
      <c r="E330" s="14" t="n"/>
      <c r="F330" s="21" t="n"/>
      <c r="I330" s="38">
        <f>IF(H330="","","https://www.royalmail.com/track-your-item#/tracking-results/"&amp;H330)</f>
        <v/>
      </c>
      <c r="K330" s="21" t="n"/>
    </row>
    <row r="331">
      <c r="E331" s="14" t="n"/>
      <c r="F331" s="21" t="n"/>
      <c r="I331" s="38">
        <f>IF(H331="","","https://www.royalmail.com/track-your-item#/tracking-results/"&amp;H331)</f>
        <v/>
      </c>
      <c r="K331" s="21" t="n"/>
    </row>
    <row r="332">
      <c r="E332" s="14" t="n"/>
      <c r="F332" s="21" t="n"/>
      <c r="I332" s="38">
        <f>IF(H332="","","https://www.royalmail.com/track-your-item#/tracking-results/"&amp;H332)</f>
        <v/>
      </c>
      <c r="K332" s="21" t="n"/>
    </row>
    <row r="333">
      <c r="E333" s="14" t="n"/>
      <c r="F333" s="21" t="n"/>
      <c r="I333" s="38">
        <f>IF(H333="","","https://www.royalmail.com/track-your-item#/tracking-results/"&amp;H333)</f>
        <v/>
      </c>
      <c r="K333" s="21" t="n"/>
    </row>
    <row r="334">
      <c r="E334" s="14" t="n"/>
      <c r="F334" s="21" t="n"/>
      <c r="I334" s="38">
        <f>IF(H334="","","https://www.royalmail.com/track-your-item#/tracking-results/"&amp;H334)</f>
        <v/>
      </c>
      <c r="K334" s="21" t="n"/>
    </row>
    <row r="335">
      <c r="E335" s="14" t="n"/>
      <c r="F335" s="21" t="n"/>
      <c r="I335" s="38">
        <f>IF(H335="","","https://www.royalmail.com/track-your-item#/tracking-results/"&amp;H335)</f>
        <v/>
      </c>
      <c r="K335" s="21" t="n"/>
    </row>
    <row r="336">
      <c r="E336" s="14" t="n"/>
      <c r="F336" s="21" t="n"/>
      <c r="I336" s="38">
        <f>IF(H336="","","https://www.royalmail.com/track-your-item#/tracking-results/"&amp;H336)</f>
        <v/>
      </c>
      <c r="K336" s="21" t="n"/>
    </row>
    <row r="337">
      <c r="E337" s="14" t="n"/>
      <c r="F337" s="21" t="n"/>
      <c r="I337" s="38">
        <f>IF(H337="","","https://www.royalmail.com/track-your-item#/tracking-results/"&amp;H337)</f>
        <v/>
      </c>
      <c r="K337" s="21" t="n"/>
    </row>
    <row r="338">
      <c r="E338" s="14" t="n"/>
      <c r="F338" s="21" t="n"/>
      <c r="I338" s="38">
        <f>IF(H338="","","https://www.royalmail.com/track-your-item#/tracking-results/"&amp;H338)</f>
        <v/>
      </c>
      <c r="K338" s="21" t="n"/>
    </row>
    <row r="339">
      <c r="E339" s="14" t="n"/>
      <c r="F339" s="21" t="n"/>
      <c r="I339" s="38">
        <f>IF(H339="","","https://www.royalmail.com/track-your-item#/tracking-results/"&amp;H339)</f>
        <v/>
      </c>
      <c r="K339" s="21" t="n"/>
    </row>
    <row r="340">
      <c r="E340" s="14" t="n"/>
      <c r="F340" s="21" t="n"/>
      <c r="I340" s="38">
        <f>IF(H340="","","https://www.royalmail.com/track-your-item#/tracking-results/"&amp;H340)</f>
        <v/>
      </c>
      <c r="K340" s="21" t="n"/>
    </row>
    <row r="341">
      <c r="E341" s="14" t="n"/>
      <c r="F341" s="21" t="n"/>
      <c r="I341" s="38">
        <f>IF(H341="","","https://www.royalmail.com/track-your-item#/tracking-results/"&amp;H341)</f>
        <v/>
      </c>
      <c r="K341" s="21" t="n"/>
    </row>
    <row r="342">
      <c r="E342" s="14" t="n"/>
      <c r="F342" s="21" t="n"/>
      <c r="I342" s="38">
        <f>IF(H342="","","https://www.royalmail.com/track-your-item#/tracking-results/"&amp;H342)</f>
        <v/>
      </c>
      <c r="K342" s="21" t="n"/>
    </row>
    <row r="343">
      <c r="E343" s="14" t="n"/>
      <c r="F343" s="21" t="n"/>
      <c r="I343" s="38">
        <f>IF(H343="","","https://www.royalmail.com/track-your-item#/tracking-results/"&amp;H343)</f>
        <v/>
      </c>
      <c r="K343" s="21" t="n"/>
    </row>
    <row r="344">
      <c r="E344" s="14" t="n"/>
      <c r="F344" s="21" t="n"/>
      <c r="I344" s="38">
        <f>IF(H344="","","https://www.royalmail.com/track-your-item#/tracking-results/"&amp;H344)</f>
        <v/>
      </c>
      <c r="K344" s="21" t="n"/>
    </row>
    <row r="345">
      <c r="E345" s="14" t="n"/>
      <c r="F345" s="21" t="n"/>
      <c r="I345" s="38">
        <f>IF(H345="","","https://www.royalmail.com/track-your-item#/tracking-results/"&amp;H345)</f>
        <v/>
      </c>
      <c r="K345" s="21" t="n"/>
    </row>
    <row r="346">
      <c r="E346" s="14" t="n"/>
      <c r="F346" s="21" t="n"/>
      <c r="I346" s="38">
        <f>IF(H346="","","https://www.royalmail.com/track-your-item#/tracking-results/"&amp;H346)</f>
        <v/>
      </c>
      <c r="K346" s="21" t="n"/>
    </row>
    <row r="347">
      <c r="E347" s="14" t="n"/>
      <c r="F347" s="21" t="n"/>
      <c r="I347" s="38">
        <f>IF(H347="","","https://www.royalmail.com/track-your-item#/tracking-results/"&amp;H347)</f>
        <v/>
      </c>
      <c r="K347" s="21" t="n"/>
    </row>
    <row r="348">
      <c r="E348" s="14" t="n"/>
      <c r="F348" s="21" t="n"/>
      <c r="I348" s="38">
        <f>IF(H348="","","https://www.royalmail.com/track-your-item#/tracking-results/"&amp;H348)</f>
        <v/>
      </c>
      <c r="K348" s="21" t="n"/>
    </row>
    <row r="349">
      <c r="E349" s="14" t="n"/>
      <c r="F349" s="21" t="n"/>
      <c r="I349" s="38">
        <f>IF(H349="","","https://www.royalmail.com/track-your-item#/tracking-results/"&amp;H349)</f>
        <v/>
      </c>
      <c r="K349" s="21" t="n"/>
    </row>
    <row r="350">
      <c r="E350" s="14" t="n"/>
      <c r="F350" s="21" t="n"/>
      <c r="I350" s="38">
        <f>IF(H350="","","https://www.royalmail.com/track-your-item#/tracking-results/"&amp;H350)</f>
        <v/>
      </c>
      <c r="K350" s="21" t="n"/>
    </row>
    <row r="351">
      <c r="E351" s="14" t="n"/>
      <c r="F351" s="21" t="n"/>
      <c r="I351" s="38">
        <f>IF(H351="","","https://www.royalmail.com/track-your-item#/tracking-results/"&amp;H351)</f>
        <v/>
      </c>
      <c r="K351" s="21" t="n"/>
    </row>
    <row r="352">
      <c r="E352" s="14" t="n"/>
      <c r="F352" s="21" t="n"/>
      <c r="I352" s="38">
        <f>IF(H352="","","https://www.royalmail.com/track-your-item#/tracking-results/"&amp;H352)</f>
        <v/>
      </c>
      <c r="K352" s="21" t="n"/>
    </row>
    <row r="353">
      <c r="E353" s="14" t="n"/>
      <c r="F353" s="21" t="n"/>
      <c r="I353" s="38">
        <f>IF(H353="","","https://www.royalmail.com/track-your-item#/tracking-results/"&amp;H353)</f>
        <v/>
      </c>
      <c r="K353" s="21" t="n"/>
    </row>
    <row r="354">
      <c r="E354" s="14" t="n"/>
      <c r="F354" s="21" t="n"/>
      <c r="I354" s="38">
        <f>IF(H354="","","https://www.royalmail.com/track-your-item#/tracking-results/"&amp;H354)</f>
        <v/>
      </c>
      <c r="K354" s="21" t="n"/>
    </row>
    <row r="355">
      <c r="E355" s="14" t="n"/>
      <c r="F355" s="21" t="n"/>
      <c r="I355" s="38">
        <f>IF(H355="","","https://www.royalmail.com/track-your-item#/tracking-results/"&amp;H355)</f>
        <v/>
      </c>
      <c r="K355" s="21" t="n"/>
    </row>
    <row r="356">
      <c r="E356" s="14" t="n"/>
      <c r="F356" s="21" t="n"/>
      <c r="I356" s="38">
        <f>IF(H356="","","https://www.royalmail.com/track-your-item#/tracking-results/"&amp;H356)</f>
        <v/>
      </c>
      <c r="K356" s="21" t="n"/>
    </row>
    <row r="357">
      <c r="E357" s="14" t="n"/>
      <c r="F357" s="21" t="n"/>
      <c r="I357" s="38">
        <f>IF(H357="","","https://www.royalmail.com/track-your-item#/tracking-results/"&amp;H357)</f>
        <v/>
      </c>
      <c r="K357" s="21" t="n"/>
    </row>
    <row r="358">
      <c r="E358" s="14" t="n"/>
      <c r="F358" s="21" t="n"/>
      <c r="I358" s="38">
        <f>IF(H358="","","https://www.royalmail.com/track-your-item#/tracking-results/"&amp;H358)</f>
        <v/>
      </c>
      <c r="K358" s="21" t="n"/>
    </row>
    <row r="359">
      <c r="E359" s="14" t="n"/>
      <c r="F359" s="21" t="n"/>
      <c r="I359" s="38">
        <f>IF(H359="","","https://www.royalmail.com/track-your-item#/tracking-results/"&amp;H359)</f>
        <v/>
      </c>
      <c r="K359" s="21" t="n"/>
    </row>
    <row r="360">
      <c r="E360" s="14" t="n"/>
      <c r="F360" s="21" t="n"/>
      <c r="I360" s="38">
        <f>IF(H360="","","https://www.royalmail.com/track-your-item#/tracking-results/"&amp;H360)</f>
        <v/>
      </c>
      <c r="K360" s="21" t="n"/>
    </row>
    <row r="361">
      <c r="E361" s="14" t="n"/>
      <c r="F361" s="21" t="n"/>
      <c r="I361" s="38">
        <f>IF(H361="","","https://www.royalmail.com/track-your-item#/tracking-results/"&amp;H361)</f>
        <v/>
      </c>
      <c r="K361" s="21" t="n"/>
    </row>
    <row r="362">
      <c r="E362" s="14" t="n"/>
      <c r="F362" s="21" t="n"/>
      <c r="I362" s="38">
        <f>IF(H362="","","https://www.royalmail.com/track-your-item#/tracking-results/"&amp;H362)</f>
        <v/>
      </c>
      <c r="K362" s="21" t="n"/>
    </row>
    <row r="363">
      <c r="E363" s="14" t="n"/>
      <c r="F363" s="21" t="n"/>
      <c r="I363" s="38">
        <f>IF(H363="","","https://www.royalmail.com/track-your-item#/tracking-results/"&amp;H363)</f>
        <v/>
      </c>
      <c r="K363" s="21" t="n"/>
    </row>
    <row r="364">
      <c r="E364" s="14" t="n"/>
      <c r="F364" s="21" t="n"/>
      <c r="I364" s="38">
        <f>IF(H364="","","https://www.royalmail.com/track-your-item#/tracking-results/"&amp;H364)</f>
        <v/>
      </c>
      <c r="K364" s="21" t="n"/>
    </row>
    <row r="365">
      <c r="E365" s="14" t="n"/>
      <c r="F365" s="21" t="n"/>
      <c r="I365" s="38">
        <f>IF(H365="","","https://www.royalmail.com/track-your-item#/tracking-results/"&amp;H365)</f>
        <v/>
      </c>
      <c r="K365" s="21" t="n"/>
    </row>
    <row r="366">
      <c r="E366" s="14" t="n"/>
      <c r="F366" s="21" t="n"/>
      <c r="I366" s="38">
        <f>IF(H366="","","https://www.royalmail.com/track-your-item#/tracking-results/"&amp;H366)</f>
        <v/>
      </c>
      <c r="K366" s="21" t="n"/>
    </row>
    <row r="367">
      <c r="E367" s="14" t="n"/>
      <c r="F367" s="21" t="n"/>
      <c r="I367" s="38">
        <f>IF(H367="","","https://www.royalmail.com/track-your-item#/tracking-results/"&amp;H367)</f>
        <v/>
      </c>
      <c r="K367" s="21" t="n"/>
    </row>
    <row r="368">
      <c r="E368" s="14" t="n"/>
      <c r="F368" s="21" t="n"/>
      <c r="I368" s="38">
        <f>IF(H368="","","https://www.royalmail.com/track-your-item#/tracking-results/"&amp;H368)</f>
        <v/>
      </c>
      <c r="K368" s="21" t="n"/>
    </row>
    <row r="369">
      <c r="E369" s="14" t="n"/>
      <c r="F369" s="21" t="n"/>
      <c r="I369" s="38">
        <f>IF(H369="","","https://www.royalmail.com/track-your-item#/tracking-results/"&amp;H369)</f>
        <v/>
      </c>
      <c r="K369" s="21" t="n"/>
    </row>
    <row r="370">
      <c r="E370" s="14" t="n"/>
      <c r="F370" s="21" t="n"/>
      <c r="I370" s="38">
        <f>IF(H370="","","https://www.royalmail.com/track-your-item#/tracking-results/"&amp;H370)</f>
        <v/>
      </c>
      <c r="K370" s="21" t="n"/>
    </row>
    <row r="371">
      <c r="E371" s="14" t="n"/>
      <c r="F371" s="21" t="n"/>
      <c r="I371" s="38">
        <f>IF(H371="","","https://www.royalmail.com/track-your-item#/tracking-results/"&amp;H371)</f>
        <v/>
      </c>
      <c r="K371" s="21" t="n"/>
    </row>
    <row r="372">
      <c r="E372" s="14" t="n"/>
      <c r="F372" s="21" t="n"/>
      <c r="I372" s="38">
        <f>IF(H372="","","https://www.royalmail.com/track-your-item#/tracking-results/"&amp;H372)</f>
        <v/>
      </c>
      <c r="K372" s="21" t="n"/>
    </row>
    <row r="373">
      <c r="E373" s="14" t="n"/>
      <c r="F373" s="21" t="n"/>
      <c r="I373" s="38">
        <f>IF(H373="","","https://www.royalmail.com/track-your-item#/tracking-results/"&amp;H373)</f>
        <v/>
      </c>
      <c r="K373" s="21" t="n"/>
    </row>
    <row r="374">
      <c r="E374" s="14" t="n"/>
      <c r="F374" s="21" t="n"/>
      <c r="I374" s="38">
        <f>IF(H374="","","https://www.royalmail.com/track-your-item#/tracking-results/"&amp;H374)</f>
        <v/>
      </c>
      <c r="K374" s="21" t="n"/>
    </row>
    <row r="375">
      <c r="E375" s="14" t="n"/>
      <c r="F375" s="21" t="n"/>
      <c r="I375" s="38">
        <f>IF(H375="","","https://www.royalmail.com/track-your-item#/tracking-results/"&amp;H375)</f>
        <v/>
      </c>
      <c r="K375" s="21" t="n"/>
    </row>
    <row r="376">
      <c r="E376" s="14" t="n"/>
      <c r="F376" s="21" t="n"/>
      <c r="I376" s="38">
        <f>IF(H376="","","https://www.royalmail.com/track-your-item#/tracking-results/"&amp;H376)</f>
        <v/>
      </c>
      <c r="K376" s="21" t="n"/>
    </row>
    <row r="377">
      <c r="E377" s="14" t="n"/>
      <c r="F377" s="21" t="n"/>
      <c r="I377" s="38">
        <f>IF(H377="","","https://www.royalmail.com/track-your-item#/tracking-results/"&amp;H377)</f>
        <v/>
      </c>
      <c r="K377" s="21" t="n"/>
    </row>
    <row r="378">
      <c r="E378" s="14" t="n"/>
      <c r="F378" s="21" t="n"/>
      <c r="I378" s="38">
        <f>IF(H378="","","https://www.royalmail.com/track-your-item#/tracking-results/"&amp;H378)</f>
        <v/>
      </c>
      <c r="K378" s="21" t="n"/>
    </row>
    <row r="379">
      <c r="E379" s="14" t="n"/>
      <c r="F379" s="21" t="n"/>
      <c r="I379" s="38">
        <f>IF(H379="","","https://www.royalmail.com/track-your-item#/tracking-results/"&amp;H379)</f>
        <v/>
      </c>
      <c r="K379" s="21" t="n"/>
    </row>
    <row r="380">
      <c r="E380" s="14" t="n"/>
      <c r="F380" s="21" t="n"/>
      <c r="I380" s="38">
        <f>IF(H380="","","https://www.royalmail.com/track-your-item#/tracking-results/"&amp;H380)</f>
        <v/>
      </c>
      <c r="K380" s="21" t="n"/>
    </row>
    <row r="381">
      <c r="E381" s="14" t="n"/>
      <c r="F381" s="21" t="n"/>
      <c r="I381" s="38">
        <f>IF(H381="","","https://www.royalmail.com/track-your-item#/tracking-results/"&amp;H381)</f>
        <v/>
      </c>
      <c r="K381" s="21" t="n"/>
    </row>
    <row r="382">
      <c r="E382" s="14" t="n"/>
      <c r="F382" s="21" t="n"/>
      <c r="I382" s="38">
        <f>IF(H382="","","https://www.royalmail.com/track-your-item#/tracking-results/"&amp;H382)</f>
        <v/>
      </c>
      <c r="K382" s="21" t="n"/>
    </row>
    <row r="383">
      <c r="E383" s="14" t="n"/>
      <c r="F383" s="21" t="n"/>
      <c r="I383" s="38">
        <f>IF(H383="","","https://www.royalmail.com/track-your-item#/tracking-results/"&amp;H383)</f>
        <v/>
      </c>
      <c r="K383" s="21" t="n"/>
    </row>
    <row r="384">
      <c r="E384" s="14" t="n"/>
      <c r="F384" s="21" t="n"/>
      <c r="I384" s="38">
        <f>IF(H384="","","https://www.royalmail.com/track-your-item#/tracking-results/"&amp;H384)</f>
        <v/>
      </c>
      <c r="K384" s="21" t="n"/>
    </row>
    <row r="385">
      <c r="E385" s="14" t="n"/>
      <c r="F385" s="21" t="n"/>
      <c r="I385" s="38">
        <f>IF(H385="","","https://www.royalmail.com/track-your-item#/tracking-results/"&amp;H385)</f>
        <v/>
      </c>
      <c r="K385" s="21" t="n"/>
    </row>
    <row r="386">
      <c r="E386" s="14" t="n"/>
      <c r="F386" s="21" t="n"/>
      <c r="I386" s="38">
        <f>IF(H386="","","https://www.royalmail.com/track-your-item#/tracking-results/"&amp;H386)</f>
        <v/>
      </c>
      <c r="K386" s="21" t="n"/>
    </row>
    <row r="387">
      <c r="E387" s="14" t="n"/>
      <c r="F387" s="21" t="n"/>
      <c r="I387" s="38">
        <f>IF(H387="","","https://www.royalmail.com/track-your-item#/tracking-results/"&amp;H387)</f>
        <v/>
      </c>
      <c r="K387" s="21" t="n"/>
    </row>
    <row r="388">
      <c r="E388" s="14" t="n"/>
      <c r="F388" s="21" t="n"/>
      <c r="I388" s="38">
        <f>IF(H388="","","https://www.royalmail.com/track-your-item#/tracking-results/"&amp;H388)</f>
        <v/>
      </c>
      <c r="K388" s="21" t="n"/>
    </row>
    <row r="389">
      <c r="E389" s="14" t="n"/>
      <c r="F389" s="21" t="n"/>
      <c r="I389" s="38">
        <f>IF(H389="","","https://www.royalmail.com/track-your-item#/tracking-results/"&amp;H389)</f>
        <v/>
      </c>
      <c r="K389" s="21" t="n"/>
    </row>
    <row r="390">
      <c r="E390" s="14" t="n"/>
      <c r="F390" s="21" t="n"/>
      <c r="I390" s="38">
        <f>IF(H390="","","https://www.royalmail.com/track-your-item#/tracking-results/"&amp;H390)</f>
        <v/>
      </c>
      <c r="K390" s="21" t="n"/>
    </row>
    <row r="391">
      <c r="E391" s="14" t="n"/>
      <c r="F391" s="21" t="n"/>
      <c r="I391" s="38">
        <f>IF(H391="","","https://www.royalmail.com/track-your-item#/tracking-results/"&amp;H391)</f>
        <v/>
      </c>
      <c r="K391" s="21" t="n"/>
    </row>
    <row r="392">
      <c r="E392" s="14" t="n"/>
      <c r="F392" s="21" t="n"/>
      <c r="I392" s="38">
        <f>IF(H392="","","https://www.royalmail.com/track-your-item#/tracking-results/"&amp;H392)</f>
        <v/>
      </c>
      <c r="K392" s="21" t="n"/>
    </row>
    <row r="393">
      <c r="E393" s="14" t="n"/>
      <c r="F393" s="21" t="n"/>
      <c r="I393" s="38">
        <f>IF(H393="","","https://www.royalmail.com/track-your-item#/tracking-results/"&amp;H393)</f>
        <v/>
      </c>
      <c r="K393" s="21" t="n"/>
    </row>
    <row r="394">
      <c r="E394" s="14" t="n"/>
      <c r="F394" s="21" t="n"/>
      <c r="I394" s="38">
        <f>IF(H394="","","https://www.royalmail.com/track-your-item#/tracking-results/"&amp;H394)</f>
        <v/>
      </c>
      <c r="K394" s="21" t="n"/>
    </row>
    <row r="395">
      <c r="E395" s="14" t="n"/>
      <c r="F395" s="21" t="n"/>
      <c r="I395" s="38">
        <f>IF(H395="","","https://www.royalmail.com/track-your-item#/tracking-results/"&amp;H395)</f>
        <v/>
      </c>
      <c r="K395" s="21" t="n"/>
    </row>
    <row r="396">
      <c r="E396" s="14" t="n"/>
      <c r="F396" s="21" t="n"/>
      <c r="I396" s="38">
        <f>IF(H396="","","https://www.royalmail.com/track-your-item#/tracking-results/"&amp;H396)</f>
        <v/>
      </c>
      <c r="K396" s="21" t="n"/>
    </row>
    <row r="397">
      <c r="E397" s="14" t="n"/>
      <c r="F397" s="21" t="n"/>
      <c r="I397" s="38">
        <f>IF(H397="","","https://www.royalmail.com/track-your-item#/tracking-results/"&amp;H397)</f>
        <v/>
      </c>
      <c r="K397" s="21" t="n"/>
    </row>
    <row r="398">
      <c r="E398" s="14" t="n"/>
      <c r="F398" s="21" t="n"/>
      <c r="I398" s="38">
        <f>IF(H398="","","https://www.royalmail.com/track-your-item#/tracking-results/"&amp;H398)</f>
        <v/>
      </c>
      <c r="K398" s="21" t="n"/>
    </row>
    <row r="399">
      <c r="E399" s="14" t="n"/>
      <c r="F399" s="21" t="n"/>
      <c r="I399" s="38">
        <f>IF(H399="","","https://www.royalmail.com/track-your-item#/tracking-results/"&amp;H399)</f>
        <v/>
      </c>
      <c r="K399" s="21" t="n"/>
    </row>
    <row r="400">
      <c r="E400" s="14" t="n"/>
      <c r="F400" s="21" t="n"/>
      <c r="I400" s="38">
        <f>IF(H400="","","https://www.royalmail.com/track-your-item#/tracking-results/"&amp;H400)</f>
        <v/>
      </c>
      <c r="K400" s="21" t="n"/>
    </row>
    <row r="401">
      <c r="E401" s="14" t="n"/>
      <c r="F401" s="21" t="n"/>
      <c r="I401" s="38">
        <f>IF(H401="","","https://www.royalmail.com/track-your-item#/tracking-results/"&amp;H401)</f>
        <v/>
      </c>
      <c r="K401" s="21" t="n"/>
    </row>
    <row r="402">
      <c r="E402" s="14" t="n"/>
      <c r="F402" s="21" t="n"/>
      <c r="I402" s="38">
        <f>IF(H402="","","https://www.royalmail.com/track-your-item#/tracking-results/"&amp;H402)</f>
        <v/>
      </c>
      <c r="K402" s="21" t="n"/>
    </row>
    <row r="403">
      <c r="E403" s="14" t="n"/>
      <c r="F403" s="21" t="n"/>
      <c r="I403" s="38">
        <f>IF(H403="","","https://www.royalmail.com/track-your-item#/tracking-results/"&amp;H403)</f>
        <v/>
      </c>
      <c r="K403" s="21" t="n"/>
    </row>
    <row r="404">
      <c r="E404" s="14" t="n"/>
      <c r="F404" s="21" t="n"/>
      <c r="I404" s="38">
        <f>IF(H404="","","https://www.royalmail.com/track-your-item#/tracking-results/"&amp;H404)</f>
        <v/>
      </c>
      <c r="K404" s="21" t="n"/>
    </row>
    <row r="405">
      <c r="E405" s="14" t="n"/>
      <c r="F405" s="21" t="n"/>
      <c r="I405" s="38">
        <f>IF(H405="","","https://www.royalmail.com/track-your-item#/tracking-results/"&amp;H405)</f>
        <v/>
      </c>
      <c r="K405" s="21" t="n"/>
    </row>
    <row r="406">
      <c r="E406" s="14" t="n"/>
      <c r="F406" s="21" t="n"/>
      <c r="I406" s="38">
        <f>IF(H406="","","https://www.royalmail.com/track-your-item#/tracking-results/"&amp;H406)</f>
        <v/>
      </c>
      <c r="K406" s="21" t="n"/>
    </row>
    <row r="407">
      <c r="E407" s="14" t="n"/>
      <c r="F407" s="21" t="n"/>
      <c r="I407" s="38">
        <f>IF(H407="","","https://www.royalmail.com/track-your-item#/tracking-results/"&amp;H407)</f>
        <v/>
      </c>
      <c r="K407" s="21" t="n"/>
    </row>
    <row r="408">
      <c r="E408" s="14" t="n"/>
      <c r="F408" s="21" t="n"/>
      <c r="I408" s="38">
        <f>IF(H408="","","https://www.royalmail.com/track-your-item#/tracking-results/"&amp;H408)</f>
        <v/>
      </c>
      <c r="K408" s="21" t="n"/>
    </row>
    <row r="409">
      <c r="E409" s="14" t="n"/>
      <c r="F409" s="21" t="n"/>
      <c r="I409" s="38">
        <f>IF(H409="","","https://www.royalmail.com/track-your-item#/tracking-results/"&amp;H409)</f>
        <v/>
      </c>
      <c r="K409" s="21" t="n"/>
    </row>
    <row r="410">
      <c r="E410" s="14" t="n"/>
      <c r="F410" s="21" t="n"/>
      <c r="I410" s="38">
        <f>IF(H410="","","https://www.royalmail.com/track-your-item#/tracking-results/"&amp;H410)</f>
        <v/>
      </c>
      <c r="K410" s="21" t="n"/>
    </row>
    <row r="411">
      <c r="E411" s="14" t="n"/>
      <c r="F411" s="21" t="n"/>
      <c r="I411" s="38">
        <f>IF(H411="","","https://www.royalmail.com/track-your-item#/tracking-results/"&amp;H411)</f>
        <v/>
      </c>
      <c r="K411" s="21" t="n"/>
    </row>
    <row r="412">
      <c r="E412" s="14" t="n"/>
      <c r="F412" s="21" t="n"/>
      <c r="I412" s="38">
        <f>IF(H412="","","https://www.royalmail.com/track-your-item#/tracking-results/"&amp;H412)</f>
        <v/>
      </c>
      <c r="K412" s="21" t="n"/>
    </row>
    <row r="413">
      <c r="E413" s="14" t="n"/>
      <c r="F413" s="21" t="n"/>
      <c r="I413" s="38">
        <f>IF(H413="","","https://www.royalmail.com/track-your-item#/tracking-results/"&amp;H413)</f>
        <v/>
      </c>
      <c r="K413" s="21" t="n"/>
    </row>
    <row r="414">
      <c r="E414" s="14" t="n"/>
      <c r="F414" s="21" t="n"/>
      <c r="I414" s="38">
        <f>IF(H414="","","https://www.royalmail.com/track-your-item#/tracking-results/"&amp;H414)</f>
        <v/>
      </c>
      <c r="K414" s="21" t="n"/>
    </row>
    <row r="415">
      <c r="E415" s="14" t="n"/>
      <c r="F415" s="21" t="n"/>
      <c r="I415" s="38">
        <f>IF(H415="","","https://www.royalmail.com/track-your-item#/tracking-results/"&amp;H415)</f>
        <v/>
      </c>
      <c r="K415" s="21" t="n"/>
    </row>
    <row r="416">
      <c r="E416" s="14" t="n"/>
      <c r="F416" s="21" t="n"/>
      <c r="I416" s="38">
        <f>IF(H416="","","https://www.royalmail.com/track-your-item#/tracking-results/"&amp;H416)</f>
        <v/>
      </c>
      <c r="K416" s="21" t="n"/>
    </row>
    <row r="417">
      <c r="E417" s="14" t="n"/>
      <c r="F417" s="21" t="n"/>
      <c r="I417" s="38">
        <f>IF(H417="","","https://www.royalmail.com/track-your-item#/tracking-results/"&amp;H417)</f>
        <v/>
      </c>
      <c r="K417" s="21" t="n"/>
    </row>
    <row r="418">
      <c r="E418" s="14" t="n"/>
      <c r="F418" s="21" t="n"/>
      <c r="I418" s="38">
        <f>IF(H418="","","https://www.royalmail.com/track-your-item#/tracking-results/"&amp;H418)</f>
        <v/>
      </c>
      <c r="K418" s="21" t="n"/>
    </row>
    <row r="419">
      <c r="E419" s="14" t="n"/>
      <c r="F419" s="21" t="n"/>
      <c r="I419" s="38">
        <f>IF(H419="","","https://www.royalmail.com/track-your-item#/tracking-results/"&amp;H419)</f>
        <v/>
      </c>
      <c r="K419" s="21" t="n"/>
    </row>
    <row r="420">
      <c r="E420" s="14" t="n"/>
      <c r="F420" s="21" t="n"/>
      <c r="I420" s="38">
        <f>IF(H420="","","https://www.royalmail.com/track-your-item#/tracking-results/"&amp;H420)</f>
        <v/>
      </c>
      <c r="K420" s="21" t="n"/>
    </row>
    <row r="421">
      <c r="E421" s="14" t="n"/>
      <c r="F421" s="21" t="n"/>
      <c r="I421" s="38">
        <f>IF(H421="","","https://www.royalmail.com/track-your-item#/tracking-results/"&amp;H421)</f>
        <v/>
      </c>
      <c r="K421" s="21" t="n"/>
    </row>
    <row r="422">
      <c r="E422" s="14" t="n"/>
      <c r="F422" s="21" t="n"/>
      <c r="I422" s="38">
        <f>IF(H422="","","https://www.royalmail.com/track-your-item#/tracking-results/"&amp;H422)</f>
        <v/>
      </c>
      <c r="K422" s="21" t="n"/>
    </row>
    <row r="423">
      <c r="E423" s="14" t="n"/>
      <c r="F423" s="21" t="n"/>
      <c r="I423" s="38">
        <f>IF(H423="","","https://www.royalmail.com/track-your-item#/tracking-results/"&amp;H423)</f>
        <v/>
      </c>
      <c r="K423" s="21" t="n"/>
    </row>
    <row r="424">
      <c r="E424" s="14" t="n"/>
      <c r="F424" s="21" t="n"/>
      <c r="I424" s="38">
        <f>IF(H424="","","https://www.royalmail.com/track-your-item#/tracking-results/"&amp;H424)</f>
        <v/>
      </c>
      <c r="K424" s="21" t="n"/>
    </row>
    <row r="425">
      <c r="E425" s="14" t="n"/>
      <c r="F425" s="21" t="n"/>
      <c r="I425" s="38">
        <f>IF(H425="","","https://www.royalmail.com/track-your-item#/tracking-results/"&amp;H425)</f>
        <v/>
      </c>
      <c r="K425" s="21" t="n"/>
    </row>
    <row r="426">
      <c r="E426" s="14" t="n"/>
      <c r="F426" s="21" t="n"/>
      <c r="I426" s="38">
        <f>IF(H426="","","https://www.royalmail.com/track-your-item#/tracking-results/"&amp;H426)</f>
        <v/>
      </c>
      <c r="K426" s="21" t="n"/>
    </row>
    <row r="427">
      <c r="E427" s="14" t="n"/>
      <c r="F427" s="21" t="n"/>
      <c r="I427" s="38">
        <f>IF(H427="","","https://www.royalmail.com/track-your-item#/tracking-results/"&amp;H427)</f>
        <v/>
      </c>
      <c r="K427" s="21" t="n"/>
    </row>
    <row r="428">
      <c r="E428" s="14" t="n"/>
      <c r="F428" s="21" t="n"/>
      <c r="I428" s="38">
        <f>IF(H428="","","https://www.royalmail.com/track-your-item#/tracking-results/"&amp;H428)</f>
        <v/>
      </c>
      <c r="K428" s="21" t="n"/>
    </row>
    <row r="429">
      <c r="E429" s="14" t="n"/>
      <c r="F429" s="21" t="n"/>
      <c r="I429" s="38">
        <f>IF(H429="","","https://www.royalmail.com/track-your-item#/tracking-results/"&amp;H429)</f>
        <v/>
      </c>
      <c r="K429" s="21" t="n"/>
    </row>
    <row r="430">
      <c r="E430" s="14" t="n"/>
      <c r="F430" s="21" t="n"/>
      <c r="I430" s="38">
        <f>IF(H430="","","https://www.royalmail.com/track-your-item#/tracking-results/"&amp;H430)</f>
        <v/>
      </c>
      <c r="K430" s="21" t="n"/>
    </row>
    <row r="431">
      <c r="E431" s="14" t="n"/>
      <c r="F431" s="21" t="n"/>
      <c r="I431" s="38">
        <f>IF(H431="","","https://www.royalmail.com/track-your-item#/tracking-results/"&amp;H431)</f>
        <v/>
      </c>
      <c r="K431" s="21" t="n"/>
    </row>
    <row r="432">
      <c r="E432" s="14" t="n"/>
      <c r="F432" s="21" t="n"/>
      <c r="I432" s="38">
        <f>IF(H432="","","https://www.royalmail.com/track-your-item#/tracking-results/"&amp;H432)</f>
        <v/>
      </c>
      <c r="K432" s="21" t="n"/>
    </row>
    <row r="433">
      <c r="E433" s="14" t="n"/>
      <c r="F433" s="21" t="n"/>
      <c r="I433" s="38">
        <f>IF(H433="","","https://www.royalmail.com/track-your-item#/tracking-results/"&amp;H433)</f>
        <v/>
      </c>
      <c r="K433" s="21" t="n"/>
    </row>
    <row r="434">
      <c r="E434" s="14" t="n"/>
      <c r="F434" s="21" t="n"/>
      <c r="I434" s="38">
        <f>IF(H434="","","https://www.royalmail.com/track-your-item#/tracking-results/"&amp;H434)</f>
        <v/>
      </c>
      <c r="K434" s="21" t="n"/>
    </row>
    <row r="435">
      <c r="E435" s="14" t="n"/>
      <c r="F435" s="21" t="n"/>
      <c r="I435" s="38">
        <f>IF(H435="","","https://www.royalmail.com/track-your-item#/tracking-results/"&amp;H435)</f>
        <v/>
      </c>
      <c r="K435" s="21" t="n"/>
    </row>
    <row r="436">
      <c r="E436" s="14" t="n"/>
      <c r="F436" s="21" t="n"/>
      <c r="I436" s="38">
        <f>IF(H436="","","https://www.royalmail.com/track-your-item#/tracking-results/"&amp;H436)</f>
        <v/>
      </c>
      <c r="K436" s="21" t="n"/>
    </row>
    <row r="437">
      <c r="E437" s="14" t="n"/>
      <c r="F437" s="21" t="n"/>
      <c r="I437" s="38">
        <f>IF(H437="","","https://www.royalmail.com/track-your-item#/tracking-results/"&amp;H437)</f>
        <v/>
      </c>
      <c r="K437" s="21" t="n"/>
    </row>
    <row r="438">
      <c r="E438" s="14" t="n"/>
      <c r="F438" s="21" t="n"/>
      <c r="I438" s="38">
        <f>IF(H438="","","https://www.royalmail.com/track-your-item#/tracking-results/"&amp;H438)</f>
        <v/>
      </c>
      <c r="K438" s="21" t="n"/>
    </row>
    <row r="439">
      <c r="E439" s="14" t="n"/>
      <c r="F439" s="21" t="n"/>
      <c r="I439" s="38">
        <f>IF(H439="","","https://www.royalmail.com/track-your-item#/tracking-results/"&amp;H439)</f>
        <v/>
      </c>
      <c r="K439" s="21" t="n"/>
    </row>
    <row r="440">
      <c r="E440" s="14" t="n"/>
      <c r="F440" s="21" t="n"/>
      <c r="I440" s="38">
        <f>IF(H440="","","https://www.royalmail.com/track-your-item#/tracking-results/"&amp;H440)</f>
        <v/>
      </c>
      <c r="K440" s="21" t="n"/>
    </row>
    <row r="441">
      <c r="E441" s="14" t="n"/>
      <c r="F441" s="21" t="n"/>
      <c r="I441" s="38">
        <f>IF(H441="","","https://www.royalmail.com/track-your-item#/tracking-results/"&amp;H441)</f>
        <v/>
      </c>
      <c r="K441" s="21" t="n"/>
    </row>
    <row r="442">
      <c r="E442" s="14" t="n"/>
      <c r="F442" s="21" t="n"/>
      <c r="I442" s="38">
        <f>IF(H442="","","https://www.royalmail.com/track-your-item#/tracking-results/"&amp;H442)</f>
        <v/>
      </c>
      <c r="K442" s="21" t="n"/>
    </row>
    <row r="443">
      <c r="E443" s="14" t="n"/>
      <c r="F443" s="21" t="n"/>
      <c r="I443" s="38">
        <f>IF(H443="","","https://www.royalmail.com/track-your-item#/tracking-results/"&amp;H443)</f>
        <v/>
      </c>
      <c r="K443" s="21" t="n"/>
    </row>
    <row r="444">
      <c r="E444" s="14" t="n"/>
      <c r="F444" s="21" t="n"/>
      <c r="I444" s="38">
        <f>IF(H444="","","https://www.royalmail.com/track-your-item#/tracking-results/"&amp;H444)</f>
        <v/>
      </c>
      <c r="K444" s="21" t="n"/>
    </row>
    <row r="445">
      <c r="E445" s="14" t="n"/>
      <c r="F445" s="21" t="n"/>
      <c r="I445" s="38">
        <f>IF(H445="","","https://www.royalmail.com/track-your-item#/tracking-results/"&amp;H445)</f>
        <v/>
      </c>
      <c r="K445" s="21" t="n"/>
    </row>
    <row r="446">
      <c r="E446" s="14" t="n"/>
      <c r="F446" s="21" t="n"/>
      <c r="I446" s="38">
        <f>IF(H446="","","https://www.royalmail.com/track-your-item#/tracking-results/"&amp;H446)</f>
        <v/>
      </c>
      <c r="K446" s="21" t="n"/>
    </row>
    <row r="447">
      <c r="E447" s="14" t="n"/>
      <c r="F447" s="21" t="n"/>
      <c r="I447" s="38">
        <f>IF(H447="","","https://www.royalmail.com/track-your-item#/tracking-results/"&amp;H447)</f>
        <v/>
      </c>
      <c r="K447" s="21" t="n"/>
    </row>
    <row r="448">
      <c r="E448" s="14" t="n"/>
      <c r="F448" s="21" t="n"/>
      <c r="I448" s="38">
        <f>IF(H448="","","https://www.royalmail.com/track-your-item#/tracking-results/"&amp;H448)</f>
        <v/>
      </c>
      <c r="K448" s="21" t="n"/>
    </row>
    <row r="449">
      <c r="E449" s="14" t="n"/>
      <c r="F449" s="21" t="n"/>
      <c r="I449" s="38">
        <f>IF(H449="","","https://www.royalmail.com/track-your-item#/tracking-results/"&amp;H449)</f>
        <v/>
      </c>
      <c r="K449" s="21" t="n"/>
    </row>
    <row r="450">
      <c r="E450" s="14" t="n"/>
      <c r="F450" s="21" t="n"/>
      <c r="I450" s="38">
        <f>IF(H450="","","https://www.royalmail.com/track-your-item#/tracking-results/"&amp;H450)</f>
        <v/>
      </c>
      <c r="K450" s="21" t="n"/>
    </row>
    <row r="451">
      <c r="E451" s="14" t="n"/>
      <c r="F451" s="21" t="n"/>
      <c r="I451" s="38">
        <f>IF(H451="","","https://www.royalmail.com/track-your-item#/tracking-results/"&amp;H451)</f>
        <v/>
      </c>
      <c r="K451" s="21" t="n"/>
    </row>
    <row r="452">
      <c r="E452" s="14" t="n"/>
      <c r="F452" s="21" t="n"/>
      <c r="I452" s="38">
        <f>IF(H452="","","https://www.royalmail.com/track-your-item#/tracking-results/"&amp;H452)</f>
        <v/>
      </c>
      <c r="K452" s="21" t="n"/>
    </row>
    <row r="453">
      <c r="E453" s="14" t="n"/>
      <c r="F453" s="21" t="n"/>
      <c r="I453" s="38">
        <f>IF(H453="","","https://www.royalmail.com/track-your-item#/tracking-results/"&amp;H453)</f>
        <v/>
      </c>
      <c r="K453" s="21" t="n"/>
    </row>
    <row r="454">
      <c r="E454" s="14" t="n"/>
      <c r="F454" s="21" t="n"/>
      <c r="I454" s="38">
        <f>IF(H454="","","https://www.royalmail.com/track-your-item#/tracking-results/"&amp;H454)</f>
        <v/>
      </c>
      <c r="K454" s="21" t="n"/>
    </row>
    <row r="455">
      <c r="E455" s="14" t="n"/>
      <c r="F455" s="21" t="n"/>
      <c r="I455" s="38">
        <f>IF(H455="","","https://www.royalmail.com/track-your-item#/tracking-results/"&amp;H455)</f>
        <v/>
      </c>
      <c r="K455" s="21" t="n"/>
    </row>
    <row r="456">
      <c r="E456" s="14" t="n"/>
      <c r="F456" s="21" t="n"/>
      <c r="I456" s="38">
        <f>IF(H456="","","https://www.royalmail.com/track-your-item#/tracking-results/"&amp;H456)</f>
        <v/>
      </c>
      <c r="K456" s="21" t="n"/>
    </row>
    <row r="457">
      <c r="E457" s="14" t="n"/>
      <c r="F457" s="21" t="n"/>
      <c r="I457" s="38">
        <f>IF(H457="","","https://www.royalmail.com/track-your-item#/tracking-results/"&amp;H457)</f>
        <v/>
      </c>
      <c r="K457" s="21" t="n"/>
    </row>
    <row r="458">
      <c r="E458" s="14" t="n"/>
      <c r="F458" s="21" t="n"/>
      <c r="I458" s="38">
        <f>IF(H458="","","https://www.royalmail.com/track-your-item#/tracking-results/"&amp;H458)</f>
        <v/>
      </c>
      <c r="K458" s="21" t="n"/>
    </row>
    <row r="459">
      <c r="E459" s="14" t="n"/>
      <c r="F459" s="21" t="n"/>
      <c r="I459" s="38">
        <f>IF(H459="","","https://www.royalmail.com/track-your-item#/tracking-results/"&amp;H459)</f>
        <v/>
      </c>
      <c r="K459" s="21" t="n"/>
    </row>
    <row r="460">
      <c r="E460" s="14" t="n"/>
      <c r="F460" s="21" t="n"/>
      <c r="I460" s="38">
        <f>IF(H460="","","https://www.royalmail.com/track-your-item#/tracking-results/"&amp;H460)</f>
        <v/>
      </c>
      <c r="K460" s="21" t="n"/>
    </row>
    <row r="461">
      <c r="E461" s="14" t="n"/>
      <c r="F461" s="21" t="n"/>
      <c r="I461" s="38">
        <f>IF(H461="","","https://www.royalmail.com/track-your-item#/tracking-results/"&amp;H461)</f>
        <v/>
      </c>
      <c r="K461" s="21" t="n"/>
    </row>
    <row r="462">
      <c r="E462" s="14" t="n"/>
      <c r="F462" s="21" t="n"/>
      <c r="I462" s="38">
        <f>IF(H462="","","https://www.royalmail.com/track-your-item#/tracking-results/"&amp;H462)</f>
        <v/>
      </c>
      <c r="K462" s="21" t="n"/>
    </row>
    <row r="463">
      <c r="E463" s="14" t="n"/>
      <c r="F463" s="21" t="n"/>
      <c r="I463" s="38">
        <f>IF(H463="","","https://www.royalmail.com/track-your-item#/tracking-results/"&amp;H463)</f>
        <v/>
      </c>
      <c r="K463" s="21" t="n"/>
    </row>
    <row r="464">
      <c r="E464" s="14" t="n"/>
      <c r="F464" s="21" t="n"/>
      <c r="I464" s="38">
        <f>IF(H464="","","https://www.royalmail.com/track-your-item#/tracking-results/"&amp;H464)</f>
        <v/>
      </c>
      <c r="K464" s="21" t="n"/>
    </row>
    <row r="465">
      <c r="E465" s="14" t="n"/>
      <c r="F465" s="21" t="n"/>
      <c r="I465" s="38">
        <f>IF(H465="","","https://www.royalmail.com/track-your-item#/tracking-results/"&amp;H465)</f>
        <v/>
      </c>
      <c r="K465" s="21" t="n"/>
    </row>
    <row r="466">
      <c r="E466" s="14" t="n"/>
      <c r="F466" s="21" t="n"/>
      <c r="I466" s="38">
        <f>IF(H466="","","https://www.royalmail.com/track-your-item#/tracking-results/"&amp;H466)</f>
        <v/>
      </c>
      <c r="K466" s="21" t="n"/>
    </row>
    <row r="467">
      <c r="E467" s="14" t="n"/>
      <c r="F467" s="21" t="n"/>
      <c r="I467" s="38">
        <f>IF(H467="","","https://www.royalmail.com/track-your-item#/tracking-results/"&amp;H467)</f>
        <v/>
      </c>
      <c r="K467" s="21" t="n"/>
    </row>
    <row r="468">
      <c r="E468" s="14" t="n"/>
      <c r="F468" s="21" t="n"/>
      <c r="I468" s="38">
        <f>IF(H468="","","https://www.royalmail.com/track-your-item#/tracking-results/"&amp;H468)</f>
        <v/>
      </c>
      <c r="K468" s="21" t="n"/>
    </row>
    <row r="469">
      <c r="E469" s="14" t="n"/>
      <c r="F469" s="21" t="n"/>
      <c r="I469" s="38">
        <f>IF(H469="","","https://www.royalmail.com/track-your-item#/tracking-results/"&amp;H469)</f>
        <v/>
      </c>
      <c r="K469" s="21" t="n"/>
    </row>
    <row r="470">
      <c r="E470" s="14" t="n"/>
      <c r="F470" s="21" t="n"/>
      <c r="I470" s="38">
        <f>IF(H470="","","https://www.royalmail.com/track-your-item#/tracking-results/"&amp;H470)</f>
        <v/>
      </c>
      <c r="K470" s="21" t="n"/>
    </row>
    <row r="471">
      <c r="E471" s="14" t="n"/>
      <c r="F471" s="21" t="n"/>
      <c r="I471" s="38">
        <f>IF(H471="","","https://www.royalmail.com/track-your-item#/tracking-results/"&amp;H471)</f>
        <v/>
      </c>
      <c r="K471" s="21" t="n"/>
    </row>
    <row r="472">
      <c r="E472" s="14" t="n"/>
      <c r="F472" s="21" t="n"/>
      <c r="I472" s="38">
        <f>IF(H472="","","https://www.royalmail.com/track-your-item#/tracking-results/"&amp;H472)</f>
        <v/>
      </c>
      <c r="K472" s="21" t="n"/>
    </row>
    <row r="473">
      <c r="E473" s="14" t="n"/>
      <c r="F473" s="21" t="n"/>
      <c r="I473" s="38">
        <f>IF(H473="","","https://www.royalmail.com/track-your-item#/tracking-results/"&amp;H473)</f>
        <v/>
      </c>
      <c r="K473" s="21" t="n"/>
    </row>
    <row r="474">
      <c r="E474" s="14" t="n"/>
      <c r="F474" s="21" t="n"/>
      <c r="I474" s="38">
        <f>IF(H474="","","https://www.royalmail.com/track-your-item#/tracking-results/"&amp;H474)</f>
        <v/>
      </c>
      <c r="K474" s="21" t="n"/>
    </row>
    <row r="475">
      <c r="E475" s="14" t="n"/>
      <c r="F475" s="21" t="n"/>
      <c r="I475" s="38">
        <f>IF(H475="","","https://www.royalmail.com/track-your-item#/tracking-results/"&amp;H475)</f>
        <v/>
      </c>
      <c r="K475" s="21" t="n"/>
    </row>
    <row r="476">
      <c r="E476" s="14" t="n"/>
      <c r="F476" s="21" t="n"/>
      <c r="I476" s="38">
        <f>IF(H476="","","https://www.royalmail.com/track-your-item#/tracking-results/"&amp;H476)</f>
        <v/>
      </c>
      <c r="K476" s="21" t="n"/>
    </row>
    <row r="477">
      <c r="E477" s="14" t="n"/>
      <c r="F477" s="21" t="n"/>
      <c r="I477" s="38">
        <f>IF(H477="","","https://www.royalmail.com/track-your-item#/tracking-results/"&amp;H477)</f>
        <v/>
      </c>
      <c r="K477" s="21" t="n"/>
    </row>
    <row r="478">
      <c r="E478" s="14" t="n"/>
      <c r="F478" s="21" t="n"/>
      <c r="I478" s="38">
        <f>IF(H478="","","https://www.royalmail.com/track-your-item#/tracking-results/"&amp;H478)</f>
        <v/>
      </c>
      <c r="K478" s="21" t="n"/>
    </row>
    <row r="479">
      <c r="E479" s="14" t="n"/>
      <c r="F479" s="21" t="n"/>
      <c r="I479" s="38">
        <f>IF(H479="","","https://www.royalmail.com/track-your-item#/tracking-results/"&amp;H479)</f>
        <v/>
      </c>
      <c r="K479" s="21" t="n"/>
    </row>
    <row r="480">
      <c r="E480" s="14" t="n"/>
      <c r="F480" s="21" t="n"/>
      <c r="I480" s="38">
        <f>IF(H480="","","https://www.royalmail.com/track-your-item#/tracking-results/"&amp;H480)</f>
        <v/>
      </c>
      <c r="K480" s="21" t="n"/>
    </row>
    <row r="481">
      <c r="E481" s="14" t="n"/>
      <c r="F481" s="21" t="n"/>
      <c r="I481" s="38">
        <f>IF(H481="","","https://www.royalmail.com/track-your-item#/tracking-results/"&amp;H481)</f>
        <v/>
      </c>
      <c r="K481" s="21" t="n"/>
    </row>
    <row r="482">
      <c r="E482" s="14" t="n"/>
      <c r="F482" s="21" t="n"/>
      <c r="I482" s="38">
        <f>IF(H482="","","https://www.royalmail.com/track-your-item#/tracking-results/"&amp;H482)</f>
        <v/>
      </c>
      <c r="K482" s="21" t="n"/>
    </row>
    <row r="483">
      <c r="E483" s="14" t="n"/>
      <c r="F483" s="21" t="n"/>
      <c r="I483" s="38">
        <f>IF(H483="","","https://www.royalmail.com/track-your-item#/tracking-results/"&amp;H483)</f>
        <v/>
      </c>
      <c r="K483" s="21" t="n"/>
    </row>
    <row r="484">
      <c r="E484" s="14" t="n"/>
      <c r="F484" s="21" t="n"/>
      <c r="I484" s="38">
        <f>IF(H484="","","https://www.royalmail.com/track-your-item#/tracking-results/"&amp;H484)</f>
        <v/>
      </c>
      <c r="K484" s="21" t="n"/>
    </row>
    <row r="485">
      <c r="E485" s="14" t="n"/>
      <c r="F485" s="21" t="n"/>
      <c r="I485" s="38">
        <f>IF(H485="","","https://www.royalmail.com/track-your-item#/tracking-results/"&amp;H485)</f>
        <v/>
      </c>
      <c r="K485" s="21" t="n"/>
    </row>
    <row r="486">
      <c r="E486" s="14" t="n"/>
      <c r="F486" s="21" t="n"/>
      <c r="I486" s="38">
        <f>IF(H486="","","https://www.royalmail.com/track-your-item#/tracking-results/"&amp;H486)</f>
        <v/>
      </c>
      <c r="K486" s="21" t="n"/>
    </row>
    <row r="487">
      <c r="E487" s="14" t="n"/>
      <c r="F487" s="21" t="n"/>
      <c r="I487" s="38">
        <f>IF(H487="","","https://www.royalmail.com/track-your-item#/tracking-results/"&amp;H487)</f>
        <v/>
      </c>
      <c r="K487" s="21" t="n"/>
    </row>
    <row r="488">
      <c r="E488" s="14" t="n"/>
      <c r="F488" s="21" t="n"/>
      <c r="I488" s="38">
        <f>IF(H488="","","https://www.royalmail.com/track-your-item#/tracking-results/"&amp;H488)</f>
        <v/>
      </c>
      <c r="K488" s="21" t="n"/>
    </row>
    <row r="489">
      <c r="E489" s="14" t="n"/>
      <c r="F489" s="21" t="n"/>
      <c r="I489" s="38">
        <f>IF(H489="","","https://www.royalmail.com/track-your-item#/tracking-results/"&amp;H489)</f>
        <v/>
      </c>
      <c r="K489" s="21" t="n"/>
    </row>
    <row r="490">
      <c r="E490" s="14" t="n"/>
      <c r="F490" s="21" t="n"/>
      <c r="I490" s="38">
        <f>IF(H490="","","https://www.royalmail.com/track-your-item#/tracking-results/"&amp;H490)</f>
        <v/>
      </c>
      <c r="K490" s="21" t="n"/>
    </row>
    <row r="491">
      <c r="E491" s="14" t="n"/>
      <c r="F491" s="21" t="n"/>
      <c r="I491" s="38">
        <f>IF(H491="","","https://www.royalmail.com/track-your-item#/tracking-results/"&amp;H491)</f>
        <v/>
      </c>
      <c r="K491" s="21" t="n"/>
    </row>
    <row r="492">
      <c r="E492" s="14" t="n"/>
      <c r="F492" s="21" t="n"/>
      <c r="I492" s="38">
        <f>IF(H492="","","https://www.royalmail.com/track-your-item#/tracking-results/"&amp;H492)</f>
        <v/>
      </c>
      <c r="K492" s="21" t="n"/>
    </row>
    <row r="493">
      <c r="E493" s="14" t="n"/>
      <c r="F493" s="21" t="n"/>
      <c r="I493" s="38">
        <f>IF(H493="","","https://www.royalmail.com/track-your-item#/tracking-results/"&amp;H493)</f>
        <v/>
      </c>
      <c r="K493" s="21" t="n"/>
    </row>
    <row r="494">
      <c r="E494" s="14" t="n"/>
      <c r="F494" s="21" t="n"/>
      <c r="I494" s="38">
        <f>IF(H494="","","https://www.royalmail.com/track-your-item#/tracking-results/"&amp;H494)</f>
        <v/>
      </c>
      <c r="K494" s="21" t="n"/>
    </row>
    <row r="495">
      <c r="E495" s="14" t="n"/>
      <c r="F495" s="21" t="n"/>
      <c r="I495" s="38">
        <f>IF(H495="","","https://www.royalmail.com/track-your-item#/tracking-results/"&amp;H495)</f>
        <v/>
      </c>
      <c r="K495" s="21" t="n"/>
    </row>
    <row r="496">
      <c r="E496" s="14" t="n"/>
      <c r="F496" s="21" t="n"/>
      <c r="I496" s="38">
        <f>IF(H496="","","https://www.royalmail.com/track-your-item#/tracking-results/"&amp;H496)</f>
        <v/>
      </c>
      <c r="K496" s="21" t="n"/>
    </row>
    <row r="497">
      <c r="E497" s="14" t="n"/>
      <c r="F497" s="21" t="n"/>
      <c r="I497" s="38">
        <f>IF(H497="","","https://www.royalmail.com/track-your-item#/tracking-results/"&amp;H497)</f>
        <v/>
      </c>
      <c r="K497" s="21" t="n"/>
    </row>
    <row r="498">
      <c r="E498" s="14" t="n"/>
      <c r="F498" s="21" t="n"/>
      <c r="I498" s="38">
        <f>IF(H498="","","https://www.royalmail.com/track-your-item#/tracking-results/"&amp;H498)</f>
        <v/>
      </c>
      <c r="K498" s="21" t="n"/>
    </row>
    <row r="499">
      <c r="E499" s="14" t="n"/>
      <c r="F499" s="21" t="n"/>
      <c r="I499" s="38">
        <f>IF(H499="","","https://www.royalmail.com/track-your-item#/tracking-results/"&amp;H499)</f>
        <v/>
      </c>
      <c r="K499" s="21" t="n"/>
    </row>
    <row r="500">
      <c r="E500" s="14" t="n"/>
      <c r="F500" s="21" t="n"/>
      <c r="I500" s="38">
        <f>IF(H500="","","https://www.royalmail.com/track-your-item#/tracking-results/"&amp;H500)</f>
        <v/>
      </c>
      <c r="K500" s="21" t="n"/>
    </row>
    <row r="501">
      <c r="E501" s="14" t="n"/>
      <c r="F501" s="21" t="n"/>
      <c r="I501" s="38">
        <f>IF(H501="","","https://www.royalmail.com/track-your-item#/tracking-results/"&amp;H501)</f>
        <v/>
      </c>
      <c r="K501" s="21" t="n"/>
    </row>
    <row r="502">
      <c r="E502" s="14" t="n"/>
      <c r="F502" s="21" t="n"/>
      <c r="I502" s="38">
        <f>IF(H502="","","https://www.royalmail.com/track-your-item#/tracking-results/"&amp;H502)</f>
        <v/>
      </c>
      <c r="K502" s="21" t="n"/>
    </row>
  </sheetData>
  <autoFilter ref="A2:M2"/>
  <mergeCells count="1">
    <mergeCell ref="A1:M1"/>
  </mergeCells>
  <conditionalFormatting sqref="A3:M502">
    <cfRule type="expression" priority="1" dxfId="6">
      <formula>$L3="Yes"</formula>
    </cfRule>
    <cfRule type="expression" priority="2" dxfId="0">
      <formula>$L3="No"</formula>
    </cfRule>
  </conditionalFormatting>
  <dataValidations count="3">
    <dataValidation sqref="G3:G1002" showDropDown="0" showInputMessage="0" showErrorMessage="0" allowBlank="1" type="list">
      <formula1>"Royal Mail Tracked 24,Royal Mail International Tracked,Other"</formula1>
    </dataValidation>
    <dataValidation sqref="L3:L1002" showDropDown="0" showInputMessage="0" showErrorMessage="0" allowBlank="1" type="list">
      <formula1>"Yes,No,Attempted"</formula1>
    </dataValidation>
    <dataValidation sqref="J3:J1002" showDropDown="0" showInputMessage="0" showErrorMessage="0" allowBlank="1" type="list">
      <formula1>"UK,EU"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D700"/>
    <outlinePr summaryBelow="1" summaryRight="1"/>
    <pageSetUpPr/>
  </sheetPr>
  <dimension ref="A1:K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11" customWidth="1" min="5" max="5"/>
    <col width="11" customWidth="1" min="6" max="6"/>
    <col width="10" customWidth="1" min="7" max="7"/>
    <col width="16" customWidth="1" min="8" max="8"/>
    <col width="18" customWidth="1" min="9" max="9"/>
    <col width="10" customWidth="1" min="10" max="10"/>
    <col width="30" customWidth="1" min="11" max="11"/>
  </cols>
  <sheetData>
    <row r="1" ht="22" customHeight="1">
      <c r="A1" s="1" t="inlineStr">
        <is>
          <t>CRP Labs Ltd — Velox Peptides  |  Marketing Performance  |  17/05/2026</t>
        </is>
      </c>
    </row>
    <row r="2" ht="22" customHeight="1">
      <c r="A2" s="5" t="inlineStr">
        <is>
          <t>Date</t>
        </is>
      </c>
      <c r="B2" s="5" t="inlineStr">
        <is>
          <t>Channel</t>
        </is>
      </c>
      <c r="C2" s="5" t="inlineStr">
        <is>
          <t>Campaign</t>
        </is>
      </c>
      <c r="D2" s="5" t="inlineStr">
        <is>
          <t>Content Type</t>
        </is>
      </c>
      <c r="E2" s="5" t="inlineStr">
        <is>
          <t>Spend</t>
        </is>
      </c>
      <c r="F2" s="5" t="inlineStr">
        <is>
          <t>Reach</t>
        </is>
      </c>
      <c r="G2" s="5" t="inlineStr">
        <is>
          <t>Clicks</t>
        </is>
      </c>
      <c r="H2" s="5" t="inlineStr">
        <is>
          <t>Orders Attributed</t>
        </is>
      </c>
      <c r="I2" s="5" t="inlineStr">
        <is>
          <t>Revenue Attributed</t>
        </is>
      </c>
      <c r="J2" s="5" t="inlineStr">
        <is>
          <t>ROAS</t>
        </is>
      </c>
      <c r="K2" s="5" t="inlineStr">
        <is>
          <t>Notes</t>
        </is>
      </c>
    </row>
    <row r="3">
      <c r="A3" s="21" t="n"/>
      <c r="E3" s="14" t="n"/>
      <c r="I3" s="14" t="n"/>
      <c r="J3" s="39">
        <f>IF(E3=0,"",I3/E3)</f>
        <v/>
      </c>
    </row>
    <row r="4">
      <c r="A4" s="21" t="n"/>
      <c r="E4" s="14" t="n"/>
      <c r="I4" s="14" t="n"/>
      <c r="J4" s="39">
        <f>IF(E4=0,"",I4/E4)</f>
        <v/>
      </c>
    </row>
    <row r="5">
      <c r="A5" s="21" t="n"/>
      <c r="E5" s="14" t="n"/>
      <c r="I5" s="14" t="n"/>
      <c r="J5" s="39">
        <f>IF(E5=0,"",I5/E5)</f>
        <v/>
      </c>
    </row>
    <row r="6">
      <c r="A6" s="21" t="n"/>
      <c r="E6" s="14" t="n"/>
      <c r="I6" s="14" t="n"/>
      <c r="J6" s="39">
        <f>IF(E6=0,"",I6/E6)</f>
        <v/>
      </c>
    </row>
    <row r="7">
      <c r="A7" s="21" t="n"/>
      <c r="E7" s="14" t="n"/>
      <c r="I7" s="14" t="n"/>
      <c r="J7" s="39">
        <f>IF(E7=0,"",I7/E7)</f>
        <v/>
      </c>
    </row>
    <row r="8">
      <c r="A8" s="21" t="n"/>
      <c r="E8" s="14" t="n"/>
      <c r="I8" s="14" t="n"/>
      <c r="J8" s="39">
        <f>IF(E8=0,"",I8/E8)</f>
        <v/>
      </c>
    </row>
    <row r="9">
      <c r="A9" s="21" t="n"/>
      <c r="E9" s="14" t="n"/>
      <c r="I9" s="14" t="n"/>
      <c r="J9" s="39">
        <f>IF(E9=0,"",I9/E9)</f>
        <v/>
      </c>
    </row>
    <row r="10">
      <c r="A10" s="21" t="n"/>
      <c r="E10" s="14" t="n"/>
      <c r="I10" s="14" t="n"/>
      <c r="J10" s="39">
        <f>IF(E10=0,"",I10/E10)</f>
        <v/>
      </c>
    </row>
    <row r="11">
      <c r="A11" s="21" t="n"/>
      <c r="E11" s="14" t="n"/>
      <c r="I11" s="14" t="n"/>
      <c r="J11" s="39">
        <f>IF(E11=0,"",I11/E11)</f>
        <v/>
      </c>
    </row>
    <row r="12">
      <c r="A12" s="21" t="n"/>
      <c r="E12" s="14" t="n"/>
      <c r="I12" s="14" t="n"/>
      <c r="J12" s="39">
        <f>IF(E12=0,"",I12/E12)</f>
        <v/>
      </c>
    </row>
    <row r="13">
      <c r="A13" s="21" t="n"/>
      <c r="E13" s="14" t="n"/>
      <c r="I13" s="14" t="n"/>
      <c r="J13" s="39">
        <f>IF(E13=0,"",I13/E13)</f>
        <v/>
      </c>
    </row>
    <row r="14">
      <c r="A14" s="21" t="n"/>
      <c r="E14" s="14" t="n"/>
      <c r="I14" s="14" t="n"/>
      <c r="J14" s="39">
        <f>IF(E14=0,"",I14/E14)</f>
        <v/>
      </c>
    </row>
    <row r="15">
      <c r="A15" s="21" t="n"/>
      <c r="E15" s="14" t="n"/>
      <c r="I15" s="14" t="n"/>
      <c r="J15" s="39">
        <f>IF(E15=0,"",I15/E15)</f>
        <v/>
      </c>
    </row>
    <row r="16">
      <c r="A16" s="21" t="n"/>
      <c r="E16" s="14" t="n"/>
      <c r="I16" s="14" t="n"/>
      <c r="J16" s="39">
        <f>IF(E16=0,"",I16/E16)</f>
        <v/>
      </c>
    </row>
    <row r="17">
      <c r="A17" s="21" t="n"/>
      <c r="E17" s="14" t="n"/>
      <c r="I17" s="14" t="n"/>
      <c r="J17" s="39">
        <f>IF(E17=0,"",I17/E17)</f>
        <v/>
      </c>
    </row>
    <row r="18">
      <c r="A18" s="21" t="n"/>
      <c r="E18" s="14" t="n"/>
      <c r="I18" s="14" t="n"/>
      <c r="J18" s="39">
        <f>IF(E18=0,"",I18/E18)</f>
        <v/>
      </c>
    </row>
    <row r="19">
      <c r="A19" s="21" t="n"/>
      <c r="E19" s="14" t="n"/>
      <c r="I19" s="14" t="n"/>
      <c r="J19" s="39">
        <f>IF(E19=0,"",I19/E19)</f>
        <v/>
      </c>
    </row>
    <row r="20">
      <c r="A20" s="21" t="n"/>
      <c r="E20" s="14" t="n"/>
      <c r="I20" s="14" t="n"/>
      <c r="J20" s="39">
        <f>IF(E20=0,"",I20/E20)</f>
        <v/>
      </c>
    </row>
    <row r="21">
      <c r="A21" s="21" t="n"/>
      <c r="E21" s="14" t="n"/>
      <c r="I21" s="14" t="n"/>
      <c r="J21" s="39">
        <f>IF(E21=0,"",I21/E21)</f>
        <v/>
      </c>
    </row>
    <row r="22">
      <c r="A22" s="21" t="n"/>
      <c r="E22" s="14" t="n"/>
      <c r="I22" s="14" t="n"/>
      <c r="J22" s="39">
        <f>IF(E22=0,"",I22/E22)</f>
        <v/>
      </c>
    </row>
    <row r="23">
      <c r="A23" s="21" t="n"/>
      <c r="E23" s="14" t="n"/>
      <c r="I23" s="14" t="n"/>
      <c r="J23" s="39">
        <f>IF(E23=0,"",I23/E23)</f>
        <v/>
      </c>
    </row>
    <row r="24">
      <c r="A24" s="21" t="n"/>
      <c r="E24" s="14" t="n"/>
      <c r="I24" s="14" t="n"/>
      <c r="J24" s="39">
        <f>IF(E24=0,"",I24/E24)</f>
        <v/>
      </c>
    </row>
    <row r="25">
      <c r="A25" s="21" t="n"/>
      <c r="E25" s="14" t="n"/>
      <c r="I25" s="14" t="n"/>
      <c r="J25" s="39">
        <f>IF(E25=0,"",I25/E25)</f>
        <v/>
      </c>
    </row>
    <row r="26">
      <c r="A26" s="21" t="n"/>
      <c r="E26" s="14" t="n"/>
      <c r="I26" s="14" t="n"/>
      <c r="J26" s="39">
        <f>IF(E26=0,"",I26/E26)</f>
        <v/>
      </c>
    </row>
    <row r="27">
      <c r="A27" s="21" t="n"/>
      <c r="E27" s="14" t="n"/>
      <c r="I27" s="14" t="n"/>
      <c r="J27" s="39">
        <f>IF(E27=0,"",I27/E27)</f>
        <v/>
      </c>
    </row>
    <row r="28">
      <c r="A28" s="21" t="n"/>
      <c r="E28" s="14" t="n"/>
      <c r="I28" s="14" t="n"/>
      <c r="J28" s="39">
        <f>IF(E28=0,"",I28/E28)</f>
        <v/>
      </c>
    </row>
    <row r="29">
      <c r="A29" s="21" t="n"/>
      <c r="E29" s="14" t="n"/>
      <c r="I29" s="14" t="n"/>
      <c r="J29" s="39">
        <f>IF(E29=0,"",I29/E29)</f>
        <v/>
      </c>
    </row>
    <row r="30">
      <c r="A30" s="21" t="n"/>
      <c r="E30" s="14" t="n"/>
      <c r="I30" s="14" t="n"/>
      <c r="J30" s="39">
        <f>IF(E30=0,"",I30/E30)</f>
        <v/>
      </c>
    </row>
    <row r="31">
      <c r="A31" s="21" t="n"/>
      <c r="E31" s="14" t="n"/>
      <c r="I31" s="14" t="n"/>
      <c r="J31" s="39">
        <f>IF(E31=0,"",I31/E31)</f>
        <v/>
      </c>
    </row>
    <row r="32">
      <c r="A32" s="21" t="n"/>
      <c r="E32" s="14" t="n"/>
      <c r="I32" s="14" t="n"/>
      <c r="J32" s="39">
        <f>IF(E32=0,"",I32/E32)</f>
        <v/>
      </c>
    </row>
    <row r="33">
      <c r="A33" s="21" t="n"/>
      <c r="E33" s="14" t="n"/>
      <c r="I33" s="14" t="n"/>
      <c r="J33" s="39">
        <f>IF(E33=0,"",I33/E33)</f>
        <v/>
      </c>
    </row>
    <row r="34">
      <c r="A34" s="21" t="n"/>
      <c r="E34" s="14" t="n"/>
      <c r="I34" s="14" t="n"/>
      <c r="J34" s="39">
        <f>IF(E34=0,"",I34/E34)</f>
        <v/>
      </c>
    </row>
    <row r="35">
      <c r="A35" s="21" t="n"/>
      <c r="E35" s="14" t="n"/>
      <c r="I35" s="14" t="n"/>
      <c r="J35" s="39">
        <f>IF(E35=0,"",I35/E35)</f>
        <v/>
      </c>
    </row>
    <row r="36">
      <c r="A36" s="21" t="n"/>
      <c r="E36" s="14" t="n"/>
      <c r="I36" s="14" t="n"/>
      <c r="J36" s="39">
        <f>IF(E36=0,"",I36/E36)</f>
        <v/>
      </c>
    </row>
    <row r="37">
      <c r="A37" s="21" t="n"/>
      <c r="E37" s="14" t="n"/>
      <c r="I37" s="14" t="n"/>
      <c r="J37" s="39">
        <f>IF(E37=0,"",I37/E37)</f>
        <v/>
      </c>
    </row>
    <row r="38">
      <c r="A38" s="21" t="n"/>
      <c r="E38" s="14" t="n"/>
      <c r="I38" s="14" t="n"/>
      <c r="J38" s="39">
        <f>IF(E38=0,"",I38/E38)</f>
        <v/>
      </c>
    </row>
    <row r="39">
      <c r="A39" s="21" t="n"/>
      <c r="E39" s="14" t="n"/>
      <c r="I39" s="14" t="n"/>
      <c r="J39" s="39">
        <f>IF(E39=0,"",I39/E39)</f>
        <v/>
      </c>
    </row>
    <row r="40">
      <c r="A40" s="21" t="n"/>
      <c r="E40" s="14" t="n"/>
      <c r="I40" s="14" t="n"/>
      <c r="J40" s="39">
        <f>IF(E40=0,"",I40/E40)</f>
        <v/>
      </c>
    </row>
    <row r="41">
      <c r="A41" s="21" t="n"/>
      <c r="E41" s="14" t="n"/>
      <c r="I41" s="14" t="n"/>
      <c r="J41" s="39">
        <f>IF(E41=0,"",I41/E41)</f>
        <v/>
      </c>
    </row>
    <row r="42">
      <c r="A42" s="21" t="n"/>
      <c r="E42" s="14" t="n"/>
      <c r="I42" s="14" t="n"/>
      <c r="J42" s="39">
        <f>IF(E42=0,"",I42/E42)</f>
        <v/>
      </c>
    </row>
    <row r="43">
      <c r="A43" s="21" t="n"/>
      <c r="E43" s="14" t="n"/>
      <c r="I43" s="14" t="n"/>
      <c r="J43" s="39">
        <f>IF(E43=0,"",I43/E43)</f>
        <v/>
      </c>
    </row>
    <row r="44">
      <c r="A44" s="21" t="n"/>
      <c r="E44" s="14" t="n"/>
      <c r="I44" s="14" t="n"/>
      <c r="J44" s="39">
        <f>IF(E44=0,"",I44/E44)</f>
        <v/>
      </c>
    </row>
    <row r="45">
      <c r="A45" s="21" t="n"/>
      <c r="E45" s="14" t="n"/>
      <c r="I45" s="14" t="n"/>
      <c r="J45" s="39">
        <f>IF(E45=0,"",I45/E45)</f>
        <v/>
      </c>
    </row>
    <row r="46">
      <c r="A46" s="21" t="n"/>
      <c r="E46" s="14" t="n"/>
      <c r="I46" s="14" t="n"/>
      <c r="J46" s="39">
        <f>IF(E46=0,"",I46/E46)</f>
        <v/>
      </c>
    </row>
    <row r="47">
      <c r="A47" s="21" t="n"/>
      <c r="E47" s="14" t="n"/>
      <c r="I47" s="14" t="n"/>
      <c r="J47" s="39">
        <f>IF(E47=0,"",I47/E47)</f>
        <v/>
      </c>
    </row>
    <row r="48">
      <c r="A48" s="21" t="n"/>
      <c r="E48" s="14" t="n"/>
      <c r="I48" s="14" t="n"/>
      <c r="J48" s="39">
        <f>IF(E48=0,"",I48/E48)</f>
        <v/>
      </c>
    </row>
    <row r="49">
      <c r="A49" s="21" t="n"/>
      <c r="E49" s="14" t="n"/>
      <c r="I49" s="14" t="n"/>
      <c r="J49" s="39">
        <f>IF(E49=0,"",I49/E49)</f>
        <v/>
      </c>
    </row>
    <row r="50">
      <c r="A50" s="21" t="n"/>
      <c r="E50" s="14" t="n"/>
      <c r="I50" s="14" t="n"/>
      <c r="J50" s="39">
        <f>IF(E50=0,"",I50/E50)</f>
        <v/>
      </c>
    </row>
    <row r="53" ht="18" customHeight="1">
      <c r="A53" s="2" t="inlineStr">
        <is>
          <t>MONTHLY SUMMARY</t>
        </is>
      </c>
    </row>
    <row r="54">
      <c r="A54" s="13" t="inlineStr">
        <is>
          <t>Total Spend This Month</t>
        </is>
      </c>
      <c r="B54" s="18">
        <f>SUMIF(A3:A50,"&gt;="&amp;DATE(YEAR(TODAY()),MONTH(TODAY()),1),E3:E50)</f>
        <v/>
      </c>
    </row>
    <row r="55">
      <c r="A55" s="13" t="inlineStr">
        <is>
          <t>Total Attributed Revenue</t>
        </is>
      </c>
      <c r="B55" s="18">
        <f>SUMIF(A3:A50,"&gt;="&amp;DATE(YEAR(TODAY()),MONTH(TODAY()),1),I3:I50)</f>
        <v/>
      </c>
    </row>
    <row r="56">
      <c r="A56" s="13" t="inlineStr">
        <is>
          <t>Overall ROAS</t>
        </is>
      </c>
      <c r="B56" s="40">
        <f>IF(B54=0,"",B55/B54)</f>
        <v/>
      </c>
    </row>
    <row r="57">
      <c r="A57" s="13" t="inlineStr">
        <is>
          <t>Best Performing Channel</t>
        </is>
      </c>
      <c r="B57" s="41" t="inlineStr">
        <is>
          <t>Manual entry</t>
        </is>
      </c>
    </row>
  </sheetData>
  <autoFilter ref="A2:K2"/>
  <mergeCells count="2">
    <mergeCell ref="A53:K53"/>
    <mergeCell ref="A1:K1"/>
  </mergeCells>
  <dataValidations count="2">
    <dataValidation sqref="B3:B1002" showDropDown="0" showInputMessage="0" showErrorMessage="0" allowBlank="1" type="list">
      <formula1>"Instagram Organic,Instagram Paid,TikTok,Google Organic,Google Paid,Referral,Discount Code,Email,Other"</formula1>
    </dataValidation>
    <dataValidation sqref="D3:D1002" showDropDown="0" showInputMessage="0" showErrorMessage="0" allowBlank="1" type="list">
      <formula1>"Product Post,Stack Post,Educational,Story,Reel,Other"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2026-05-17T16:01:02Z</dcterms:created>
  <dcterms:modified xsi:type="dcterms:W3CDTF">2026-05-17T16:01:02Z</dcterms:modified>
</cp:coreProperties>
</file>